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F84250C7-1A1D-4CCF-BED6-0EF64A6A576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definedNames>
    <definedName name="_xlchart.v1.0" hidden="1">Sheet1!$B$50:$B$150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8" i="2" l="1"/>
  <c r="C197" i="2"/>
  <c r="C196" i="2"/>
  <c r="C195" i="2"/>
  <c r="C194" i="2"/>
  <c r="C193" i="2"/>
  <c r="C192" i="2"/>
  <c r="C191" i="2"/>
  <c r="B202" i="2" s="1"/>
  <c r="C177" i="2"/>
  <c r="B14" i="2"/>
  <c r="B11" i="2"/>
  <c r="B17" i="2" s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50" i="1"/>
  <c r="C46" i="1"/>
  <c r="C44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8" i="1"/>
  <c r="C39" i="1" s="1"/>
</calcChain>
</file>

<file path=xl/sharedStrings.xml><?xml version="1.0" encoding="utf-8"?>
<sst xmlns="http://schemas.openxmlformats.org/spreadsheetml/2006/main" count="255" uniqueCount="236">
  <si>
    <t xml:space="preserve">                                Assignment   :</t>
  </si>
  <si>
    <t>Distribution</t>
  </si>
  <si>
    <t>Q NO 1:</t>
  </si>
  <si>
    <t>STimulate 30 rolls with =RANDBETWEEN(1,6). What is the probability of rolling a 3 exactly 5 times? (Hint: Use BINOM.DIST)</t>
  </si>
  <si>
    <t>SOL :</t>
  </si>
  <si>
    <t>STIMULATE THE 30 ROLLS WITH =RANDBETWEEN(1,6)</t>
  </si>
  <si>
    <t>FOR COUNT =COUNTIF(B8:B37,3)</t>
  </si>
  <si>
    <t>Number of trials</t>
  </si>
  <si>
    <r>
      <t xml:space="preserve">Probability of rolling a </t>
    </r>
    <r>
      <rPr>
        <b/>
        <sz val="11"/>
        <color theme="1"/>
        <rFont val="Aptos Narrow"/>
        <family val="2"/>
        <scheme val="minor"/>
      </rPr>
      <t>3</t>
    </r>
  </si>
  <si>
    <t>"1/6"</t>
  </si>
  <si>
    <t>NUMBER OF SUCCESSES</t>
  </si>
  <si>
    <t>BINOM.DIST =</t>
  </si>
  <si>
    <t>P(exactly 5 threes in 30 rolls)</t>
  </si>
  <si>
    <t>Q NO 2:</t>
  </si>
  <si>
    <t>Generate 100 values in Excel using the continuous uniform distribution RAND() and plot a histogram. Describe the shape of the distribution.</t>
  </si>
  <si>
    <t>SHAPE OF DISTRIBUTION :</t>
  </si>
  <si>
    <r>
      <t xml:space="preserve">The histogram is </t>
    </r>
    <r>
      <rPr>
        <b/>
        <sz val="11"/>
        <color theme="1"/>
        <rFont val="Aptos Narrow"/>
        <family val="2"/>
        <scheme val="minor"/>
      </rPr>
      <t>approximately flat</t>
    </r>
  </si>
  <si>
    <r>
      <t xml:space="preserve">Bars have </t>
    </r>
    <r>
      <rPr>
        <b/>
        <sz val="11"/>
        <color theme="1"/>
        <rFont val="Aptos Narrow"/>
        <family val="2"/>
        <scheme val="minor"/>
      </rPr>
      <t>roughly equal heights</t>
    </r>
  </si>
  <si>
    <t xml:space="preserve">         </t>
  </si>
  <si>
    <t>The histogram of the 100 values generated using</t>
  </si>
  <si>
    <t>RAND()</t>
  </si>
  <si>
    <r>
      <t xml:space="preserve">is approximately </t>
    </r>
    <r>
      <rPr>
        <b/>
        <sz val="11"/>
        <color theme="1"/>
        <rFont val="Aptos Narrow"/>
        <family val="2"/>
        <scheme val="minor"/>
      </rPr>
      <t>uniform (rectangular)</t>
    </r>
    <r>
      <rPr>
        <sz val="11"/>
        <color theme="1"/>
        <rFont val="Aptos Narrow"/>
        <family val="2"/>
        <scheme val="minor"/>
      </rPr>
      <t>.</t>
    </r>
  </si>
  <si>
    <r>
      <t xml:space="preserve">This indicates that the values are evenly distributed across the interval [0,1][0,1][0,1], which is characteristic of a </t>
    </r>
    <r>
      <rPr>
        <b/>
        <sz val="11"/>
        <color theme="1"/>
        <rFont val="Aptos Narrow"/>
        <family val="2"/>
        <scheme val="minor"/>
      </rPr>
      <t>continuous uniform distribution</t>
    </r>
    <r>
      <rPr>
        <sz val="11"/>
        <color theme="1"/>
        <rFont val="Aptos Narrow"/>
        <family val="2"/>
        <scheme val="minor"/>
      </rPr>
      <t>.</t>
    </r>
  </si>
  <si>
    <t>Q NO 3:</t>
  </si>
  <si>
    <t>A dataset has a mean of 50 and a standard deviation of 5. What percentage of values lie between 45 and 55 if the data follows a normal distribution?</t>
  </si>
  <si>
    <t>SOL:</t>
  </si>
  <si>
    <t xml:space="preserve">MEAN </t>
  </si>
  <si>
    <t>STANDARD DEVIATION</t>
  </si>
  <si>
    <t>RANGE</t>
  </si>
  <si>
    <t>45-50</t>
  </si>
  <si>
    <t>METHOD USING NORMAL DISTRIBUTION</t>
  </si>
  <si>
    <t>CALCULATE CUMULATIVE PROBABILTY AT 55</t>
  </si>
  <si>
    <t>Calculate cumulative probability at 45</t>
  </si>
  <si>
    <t>Find probability between 45 and 55</t>
  </si>
  <si>
    <r>
      <t xml:space="preserve">If the data follows a normal distribution, approximately </t>
    </r>
    <r>
      <rPr>
        <b/>
        <sz val="11"/>
        <color theme="1"/>
        <rFont val="Aptos Narrow"/>
        <family val="2"/>
        <scheme val="minor"/>
      </rPr>
      <t>68%</t>
    </r>
    <r>
      <rPr>
        <sz val="11"/>
        <color theme="1"/>
        <rFont val="Aptos Narrow"/>
        <family val="2"/>
        <scheme val="minor"/>
      </rPr>
      <t xml:space="preserve"> of the values lie between </t>
    </r>
    <r>
      <rPr>
        <b/>
        <sz val="11"/>
        <color theme="1"/>
        <rFont val="Aptos Narrow"/>
        <family val="2"/>
        <scheme val="minor"/>
      </rPr>
      <t>45 and 55</t>
    </r>
    <r>
      <rPr>
        <sz val="11"/>
        <color theme="1"/>
        <rFont val="Aptos Narrow"/>
        <family val="2"/>
        <scheme val="minor"/>
      </rPr>
      <t>.</t>
    </r>
  </si>
  <si>
    <t>Q NO 4:</t>
  </si>
  <si>
    <t>What is the concept of standardization (z-score), and why is it important in data analysis? Explain the formula and how standardization transforms a dataset.</t>
  </si>
  <si>
    <t>Standardization converts raw data into z-scores by subtracting the mean and dividing by the standard deviation. This transformation produces a dataset with mean 0 and standard deviation 1, allowing easy comparison, probability estimation, and improved performance in statistical and machine-learning analyses.</t>
  </si>
  <si>
    <t>Original data: Mean = 50, Standard Deviation = 5</t>
  </si>
  <si>
    <t>*</t>
  </si>
  <si>
    <r>
      <t>Standardization</t>
    </r>
    <r>
      <rPr>
        <sz val="11"/>
        <color theme="1"/>
        <rFont val="Aptos Narrow"/>
        <family val="2"/>
        <scheme val="minor"/>
      </rPr>
      <t xml:space="preserve"> is a statistical technique used to transform data so that it has:</t>
    </r>
  </si>
  <si>
    <t>Mean = 0</t>
  </si>
  <si>
    <t>Standard deviation = 1</t>
  </si>
  <si>
    <r>
      <t xml:space="preserve">The transformed value is called a </t>
    </r>
    <r>
      <rPr>
        <b/>
        <sz val="11"/>
        <color theme="1"/>
        <rFont val="Aptos Narrow"/>
        <family val="2"/>
        <scheme val="minor"/>
      </rPr>
      <t>z-score</t>
    </r>
    <r>
      <rPr>
        <sz val="11"/>
        <color theme="1"/>
        <rFont val="Aptos Narrow"/>
        <family val="2"/>
        <scheme val="minor"/>
      </rPr>
      <t>.</t>
    </r>
  </si>
  <si>
    <r>
      <t xml:space="preserve">A z-score tells us </t>
    </r>
    <r>
      <rPr>
        <b/>
        <sz val="11"/>
        <color theme="1"/>
        <rFont val="Aptos Narrow"/>
        <family val="2"/>
        <scheme val="minor"/>
      </rPr>
      <t>how many standard deviations a data point is above or below the mean</t>
    </r>
    <r>
      <rPr>
        <sz val="11"/>
        <color theme="1"/>
        <rFont val="Aptos Narrow"/>
        <family val="2"/>
        <scheme val="minor"/>
      </rPr>
      <t>.</t>
    </r>
  </si>
  <si>
    <t>Z-Score Formula</t>
  </si>
  <si>
    <t>z=x−μ​​</t>
  </si>
  <si>
    <t xml:space="preserve">       σ</t>
  </si>
  <si>
    <t>Where:</t>
  </si>
  <si>
    <t>x = original data value</t>
  </si>
  <si>
    <t>μ = mean of the dataset</t>
  </si>
  <si>
    <t>σ = standard deviation of the dataset</t>
  </si>
  <si>
    <t>z = standardized value (z-score)</t>
  </si>
  <si>
    <t>Why is Standardization Important in Data Analysis?</t>
  </si>
  <si>
    <t>Comparison Across Different Scales</t>
  </si>
  <si>
    <t>Allows comparison between variables with different units.</t>
  </si>
  <si>
    <r>
      <t xml:space="preserve">Example: Marks in </t>
    </r>
    <r>
      <rPr>
        <b/>
        <sz val="11"/>
        <color theme="1"/>
        <rFont val="Aptos Narrow"/>
        <family val="2"/>
        <scheme val="minor"/>
      </rPr>
      <t>Math (out of 100)</t>
    </r>
    <r>
      <rPr>
        <sz val="11"/>
        <color theme="1"/>
        <rFont val="Aptos Narrow"/>
        <family val="2"/>
        <scheme val="minor"/>
      </rPr>
      <t xml:space="preserve"> vs </t>
    </r>
    <r>
      <rPr>
        <b/>
        <sz val="11"/>
        <color theme="1"/>
        <rFont val="Aptos Narrow"/>
        <family val="2"/>
        <scheme val="minor"/>
      </rPr>
      <t>Physics (out of 50)</t>
    </r>
  </si>
  <si>
    <t>Identifying Outliers</t>
  </si>
  <si>
    <t>Large positive or negative z-scores indicate unusual values.</t>
  </si>
  <si>
    <t>Typically, ∣z∣&gt;3|z| &gt; 3∣z∣&gt;3 → potential outlier</t>
  </si>
  <si>
    <t>Probability &amp; Normal Distribution</t>
  </si>
  <si>
    <r>
      <t xml:space="preserve">Used to calculate probabilities using </t>
    </r>
    <r>
      <rPr>
        <b/>
        <sz val="11"/>
        <color theme="1"/>
        <rFont val="Aptos Narrow"/>
        <family val="2"/>
        <scheme val="minor"/>
      </rPr>
      <t>standard normal distribution tables</t>
    </r>
  </si>
  <si>
    <t>Required for Many Algorithms</t>
  </si>
  <si>
    <t>Essential for machine learning and statistical methods such as:</t>
  </si>
  <si>
    <t>Linear Regression</t>
  </si>
  <si>
    <t>K-Means Clustering</t>
  </si>
  <si>
    <t>Principal Component Analysis (PCA)</t>
  </si>
  <si>
    <t>Effect of Standardization on Data</t>
  </si>
  <si>
    <t>Aspect</t>
  </si>
  <si>
    <t>Before</t>
  </si>
  <si>
    <t>After</t>
  </si>
  <si>
    <t>Mean</t>
  </si>
  <si>
    <t>Any value</t>
  </si>
  <si>
    <t>Standard Deviation</t>
  </si>
  <si>
    <t>Units</t>
  </si>
  <si>
    <t>Original units</t>
  </si>
  <si>
    <t>Unitless</t>
  </si>
  <si>
    <t>Shape</t>
  </si>
  <si>
    <t>Original</t>
  </si>
  <si>
    <t>Same (unchanged)</t>
  </si>
  <si>
    <t>Standardization converts data into z-scores</t>
  </si>
  <si>
    <r>
      <t xml:space="preserve">Shows </t>
    </r>
    <r>
      <rPr>
        <b/>
        <sz val="11"/>
        <color theme="1"/>
        <rFont val="Aptos Narrow"/>
        <family val="2"/>
        <scheme val="minor"/>
      </rPr>
      <t>relative position</t>
    </r>
    <r>
      <rPr>
        <sz val="11"/>
        <color theme="1"/>
        <rFont val="Aptos Narrow"/>
        <family val="2"/>
        <scheme val="minor"/>
      </rPr>
      <t xml:space="preserve"> of values</t>
    </r>
  </si>
  <si>
    <r>
      <t xml:space="preserve">Makes data </t>
    </r>
    <r>
      <rPr>
        <b/>
        <sz val="11"/>
        <color theme="1"/>
        <rFont val="Aptos Narrow"/>
        <family val="2"/>
        <scheme val="minor"/>
      </rPr>
      <t>comparable, scalable, and analysis-ready</t>
    </r>
  </si>
  <si>
    <r>
      <t xml:space="preserve">Does </t>
    </r>
    <r>
      <rPr>
        <b/>
        <sz val="11"/>
        <color theme="1"/>
        <rFont val="Aptos Narrow"/>
        <family val="2"/>
        <scheme val="minor"/>
      </rPr>
      <t>not change data distribution</t>
    </r>
    <r>
      <rPr>
        <sz val="11"/>
        <color theme="1"/>
        <rFont val="Aptos Narrow"/>
        <family val="2"/>
        <scheme val="minor"/>
      </rPr>
      <t>, only its scale</t>
    </r>
  </si>
  <si>
    <t>How Standardization Transforms a Dataset</t>
  </si>
  <si>
    <r>
      <t xml:space="preserve">Standardization changes the </t>
    </r>
    <r>
      <rPr>
        <b/>
        <sz val="11"/>
        <color theme="1"/>
        <rFont val="Aptos Narrow"/>
        <family val="2"/>
        <scheme val="minor"/>
      </rPr>
      <t>scale</t>
    </r>
    <r>
      <rPr>
        <sz val="11"/>
        <color theme="1"/>
        <rFont val="Aptos Narrow"/>
        <family val="2"/>
        <scheme val="minor"/>
      </rPr>
      <t xml:space="preserve">, not the </t>
    </r>
    <r>
      <rPr>
        <b/>
        <sz val="11"/>
        <color theme="1"/>
        <rFont val="Aptos Narrow"/>
        <family val="2"/>
        <scheme val="minor"/>
      </rPr>
      <t>shape</t>
    </r>
    <r>
      <rPr>
        <sz val="11"/>
        <color theme="1"/>
        <rFont val="Aptos Narrow"/>
        <family val="2"/>
        <scheme val="minor"/>
      </rPr>
      <t xml:space="preserve"> of the data.</t>
    </r>
  </si>
  <si>
    <t>Example:</t>
  </si>
  <si>
    <t>Value x=60</t>
  </si>
  <si>
    <t>z=60-50/5=2</t>
  </si>
  <si>
    <r>
      <t xml:space="preserve">The value 60 is </t>
    </r>
    <r>
      <rPr>
        <b/>
        <sz val="11"/>
        <color theme="1"/>
        <rFont val="Aptos Narrow"/>
        <family val="2"/>
        <scheme val="minor"/>
      </rPr>
      <t>2 standard deviations above the mean</t>
    </r>
    <r>
      <rPr>
        <sz val="11"/>
        <color theme="1"/>
        <rFont val="Aptos Narrow"/>
        <family val="2"/>
        <scheme val="minor"/>
      </rPr>
      <t>.</t>
    </r>
  </si>
  <si>
    <t>After standardization:</t>
  </si>
  <si>
    <r>
      <t xml:space="preserve">Mean becomes </t>
    </r>
    <r>
      <rPr>
        <b/>
        <sz val="11"/>
        <color theme="1"/>
        <rFont val="Aptos Narrow"/>
        <family val="2"/>
        <scheme val="minor"/>
      </rPr>
      <t>0</t>
    </r>
  </si>
  <si>
    <r>
      <t xml:space="preserve">Standard deviation becomes </t>
    </r>
    <r>
      <rPr>
        <b/>
        <sz val="11"/>
        <color theme="1"/>
        <rFont val="Aptos Narrow"/>
        <family val="2"/>
        <scheme val="minor"/>
      </rPr>
      <t>1</t>
    </r>
  </si>
  <si>
    <t>Relative positions of values remain the same</t>
  </si>
  <si>
    <t>Q NO 5:</t>
  </si>
  <si>
    <t>What is Kurtosis and their type?</t>
  </si>
  <si>
    <r>
      <t>Kurtosis</t>
    </r>
    <r>
      <rPr>
        <sz val="11"/>
        <color theme="1"/>
        <rFont val="Aptos Narrow"/>
        <family val="2"/>
        <scheme val="minor"/>
      </rPr>
      <t xml:space="preserve"> is a statistical measure that describes the </t>
    </r>
    <r>
      <rPr>
        <b/>
        <sz val="11"/>
        <color theme="1"/>
        <rFont val="Aptos Narrow"/>
        <family val="2"/>
        <scheme val="minor"/>
      </rPr>
      <t>shape of a distribution</t>
    </r>
    <r>
      <rPr>
        <sz val="11"/>
        <color theme="1"/>
        <rFont val="Aptos Narrow"/>
        <family val="2"/>
        <scheme val="minor"/>
      </rPr>
      <t>, specifically: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</si>
  <si>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peakedness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flatness</t>
    </r>
    <r>
      <rPr>
        <sz val="11"/>
        <color theme="1"/>
        <rFont val="Aptos Narrow"/>
        <family val="2"/>
        <scheme val="minor"/>
      </rPr>
      <t xml:space="preserve"> of the data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</si>
  <si>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heaviness of the tails</t>
    </r>
    <r>
      <rPr>
        <sz val="11"/>
        <color theme="1"/>
        <rFont val="Aptos Narrow"/>
        <family val="2"/>
        <scheme val="minor"/>
      </rPr>
      <t xml:space="preserve"> (presence of extreme values)</t>
    </r>
  </si>
  <si>
    <r>
      <t xml:space="preserve">In simple words, kurtosis tells us </t>
    </r>
    <r>
      <rPr>
        <b/>
        <sz val="11"/>
        <color theme="1"/>
        <rFont val="Aptos Narrow"/>
        <family val="2"/>
        <scheme val="minor"/>
      </rPr>
      <t>how extreme the values (outliers) are</t>
    </r>
    <r>
      <rPr>
        <sz val="11"/>
        <color theme="1"/>
        <rFont val="Aptos Narrow"/>
        <family val="2"/>
        <scheme val="minor"/>
      </rPr>
      <t xml:space="preserve"> compared to a normal distribution.</t>
    </r>
  </si>
  <si>
    <r>
      <t xml:space="preserve">There are </t>
    </r>
    <r>
      <rPr>
        <b/>
        <sz val="11"/>
        <color theme="1"/>
        <rFont val="Aptos Narrow"/>
        <family val="2"/>
        <scheme val="minor"/>
      </rPr>
      <t>three main types</t>
    </r>
    <r>
      <rPr>
        <sz val="11"/>
        <color theme="1"/>
        <rFont val="Aptos Narrow"/>
        <family val="2"/>
        <scheme val="minor"/>
      </rPr>
      <t xml:space="preserve"> of kurtosis:</t>
    </r>
  </si>
  <si>
    <t>Mesokurtic</t>
  </si>
  <si>
    <t>Shape similar to normal distribution</t>
  </si>
  <si>
    <t>Moderate peak and tails</t>
  </si>
  <si>
    <r>
      <t xml:space="preserve">Kurtosis = </t>
    </r>
    <r>
      <rPr>
        <b/>
        <sz val="11"/>
        <color theme="1"/>
        <rFont val="Aptos Narrow"/>
        <family val="2"/>
        <scheme val="minor"/>
      </rPr>
      <t>3</t>
    </r>
  </si>
  <si>
    <r>
      <t xml:space="preserve">Excess kurtosis = </t>
    </r>
    <r>
      <rPr>
        <b/>
        <sz val="11"/>
        <color theme="1"/>
        <rFont val="Aptos Narrow"/>
        <family val="2"/>
        <scheme val="minor"/>
      </rPr>
      <t>0</t>
    </r>
  </si>
  <si>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Example:</t>
    </r>
    <r>
      <rPr>
        <sz val="11"/>
        <color rgb="FF000000"/>
        <rFont val="Aptos Narrow"/>
        <scheme val="minor"/>
      </rPr>
      <t xml:space="preserve"> Heights of adults</t>
    </r>
  </si>
  <si>
    <t>Leptokurtic</t>
  </si>
  <si>
    <r>
      <t>Highly peaked</t>
    </r>
    <r>
      <rPr>
        <sz val="11"/>
        <color theme="1"/>
        <rFont val="Aptos Narrow"/>
        <family val="2"/>
        <scheme val="minor"/>
      </rPr>
      <t xml:space="preserve"> distribution</t>
    </r>
  </si>
  <si>
    <r>
      <t>Heavy tails</t>
    </r>
    <r>
      <rPr>
        <sz val="11"/>
        <color theme="1"/>
        <rFont val="Aptos Narrow"/>
        <family val="2"/>
        <scheme val="minor"/>
      </rPr>
      <t xml:space="preserve"> (more extreme values/outliers)</t>
    </r>
  </si>
  <si>
    <r>
      <t xml:space="preserve">Kurtosis </t>
    </r>
    <r>
      <rPr>
        <b/>
        <sz val="11"/>
        <color theme="1"/>
        <rFont val="Aptos Narrow"/>
        <family val="2"/>
        <scheme val="minor"/>
      </rPr>
      <t>&gt; 3</t>
    </r>
  </si>
  <si>
    <r>
      <t xml:space="preserve">Excess kurtosis </t>
    </r>
    <r>
      <rPr>
        <b/>
        <sz val="11"/>
        <color theme="1"/>
        <rFont val="Aptos Narrow"/>
        <family val="2"/>
        <scheme val="minor"/>
      </rPr>
      <t>&gt; 0</t>
    </r>
  </si>
  <si>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Example:</t>
    </r>
    <r>
      <rPr>
        <sz val="11"/>
        <color rgb="FF000000"/>
        <rFont val="Aptos Narrow"/>
        <scheme val="minor"/>
      </rPr>
      <t xml:space="preserve"> Stock market returns</t>
    </r>
  </si>
  <si>
    <t>Platykurtic</t>
  </si>
  <si>
    <r>
      <t>Flat-topped</t>
    </r>
    <r>
      <rPr>
        <sz val="11"/>
        <color theme="1"/>
        <rFont val="Aptos Narrow"/>
        <family val="2"/>
        <scheme val="minor"/>
      </rPr>
      <t xml:space="preserve"> distribution</t>
    </r>
  </si>
  <si>
    <r>
      <t>Light tails</t>
    </r>
    <r>
      <rPr>
        <sz val="11"/>
        <color theme="1"/>
        <rFont val="Aptos Narrow"/>
        <family val="2"/>
        <scheme val="minor"/>
      </rPr>
      <t xml:space="preserve"> (fewer extreme values)</t>
    </r>
  </si>
  <si>
    <r>
      <t xml:space="preserve">Kurtosis </t>
    </r>
    <r>
      <rPr>
        <b/>
        <sz val="11"/>
        <color theme="1"/>
        <rFont val="Aptos Narrow"/>
        <family val="2"/>
        <scheme val="minor"/>
      </rPr>
      <t>&lt; 3</t>
    </r>
  </si>
  <si>
    <r>
      <t xml:space="preserve">Excess kurtosis </t>
    </r>
    <r>
      <rPr>
        <b/>
        <sz val="11"/>
        <color theme="1"/>
        <rFont val="Aptos Narrow"/>
        <family val="2"/>
        <scheme val="minor"/>
      </rPr>
      <t>&lt; 0</t>
    </r>
  </si>
  <si>
    <r>
      <rPr>
        <b/>
        <sz val="11"/>
        <color rgb="FF000000"/>
        <rFont val="Aptos Narrow"/>
        <scheme val="minor"/>
      </rPr>
      <t>Example:</t>
    </r>
    <r>
      <rPr>
        <sz val="11"/>
        <color rgb="FF000000"/>
        <rFont val="Aptos Narrow"/>
        <scheme val="minor"/>
      </rPr>
      <t xml:space="preserve"> Uniform distribution</t>
    </r>
  </si>
  <si>
    <t>Kurtosis in Normal Distribution</t>
  </si>
  <si>
    <r>
      <t xml:space="preserve">A </t>
    </r>
    <r>
      <rPr>
        <b/>
        <sz val="11"/>
        <color theme="1"/>
        <rFont val="Aptos Narrow"/>
        <family val="2"/>
        <scheme val="minor"/>
      </rPr>
      <t>normal distribution</t>
    </r>
    <r>
      <rPr>
        <sz val="11"/>
        <color theme="1"/>
        <rFont val="Aptos Narrow"/>
        <family val="2"/>
        <scheme val="minor"/>
      </rPr>
      <t xml:space="preserve"> has a kurtosis of </t>
    </r>
    <r>
      <rPr>
        <b/>
        <sz val="11"/>
        <color theme="1"/>
        <rFont val="Aptos Narrow"/>
        <family val="2"/>
        <scheme val="minor"/>
      </rPr>
      <t>3</t>
    </r>
  </si>
  <si>
    <t>Excess kurtosis = Kurtosis − 3</t>
  </si>
  <si>
    <r>
      <t xml:space="preserve">Normal distribution → Excess kurtosis = </t>
    </r>
    <r>
      <rPr>
        <b/>
        <sz val="11"/>
        <color theme="1"/>
        <rFont val="Aptos Narrow"/>
        <family val="2"/>
        <scheme val="minor"/>
      </rPr>
      <t>0</t>
    </r>
  </si>
  <si>
    <t>Q no 6:</t>
  </si>
  <si>
    <t>Explain why the uniform distribution is a good model for the outcome of rolling a fair die</t>
  </si>
  <si>
    <t>A uniform distribution is one in which all possible outcomes have equal probability.
This makes it an ideal model for the outcome of rolling a fair six-sided die.</t>
  </si>
  <si>
    <t>Equal Probability of Outcomes</t>
  </si>
  <si>
    <t>A fair die has six possible outcomes:</t>
  </si>
  <si>
    <t>{1,2,3,4,5,6}</t>
  </si>
  <si>
    <r>
      <t xml:space="preserve">Because the die is </t>
    </r>
    <r>
      <rPr>
        <b/>
        <sz val="11"/>
        <color theme="1"/>
        <rFont val="Aptos Narrow"/>
        <family val="2"/>
        <scheme val="minor"/>
      </rPr>
      <t>fair</t>
    </r>
    <r>
      <rPr>
        <sz val="11"/>
        <color theme="1"/>
        <rFont val="Aptos Narrow"/>
        <family val="2"/>
        <scheme val="minor"/>
      </rPr>
      <t>:</t>
    </r>
  </si>
  <si>
    <r>
      <t xml:space="preserve">Each face has the </t>
    </r>
    <r>
      <rPr>
        <b/>
        <sz val="11"/>
        <color theme="1"/>
        <rFont val="Aptos Narrow"/>
        <family val="2"/>
        <scheme val="minor"/>
      </rPr>
      <t>same chance</t>
    </r>
    <r>
      <rPr>
        <sz val="11"/>
        <color theme="1"/>
        <rFont val="Aptos Narrow"/>
        <family val="2"/>
        <scheme val="minor"/>
      </rPr>
      <t xml:space="preserve"> of appearing</t>
    </r>
  </si>
  <si>
    <t>Probability of each outcome:</t>
  </si>
  <si>
    <t>P(X=x) =1/6</t>
  </si>
  <si>
    <t>x=1,2,3,4,5,6</t>
  </si>
  <si>
    <r>
      <t xml:space="preserve">This satisfies the key condition of a </t>
    </r>
    <r>
      <rPr>
        <b/>
        <sz val="11"/>
        <color theme="1"/>
        <rFont val="Aptos Narrow"/>
        <family val="2"/>
        <scheme val="minor"/>
      </rPr>
      <t>uniform distribution</t>
    </r>
    <r>
      <rPr>
        <sz val="11"/>
        <color theme="1"/>
        <rFont val="Aptos Narrow"/>
        <family val="2"/>
        <scheme val="minor"/>
      </rPr>
      <t>.</t>
    </r>
  </si>
  <si>
    <t>Constant Probability Mass Function</t>
  </si>
  <si>
    <r>
      <t xml:space="preserve">In a </t>
    </r>
    <r>
      <rPr>
        <b/>
        <sz val="11"/>
        <color theme="1"/>
        <rFont val="Aptos Narrow"/>
        <family val="2"/>
        <scheme val="minor"/>
      </rPr>
      <t>discrete uniform distribution</t>
    </r>
    <r>
      <rPr>
        <sz val="11"/>
        <color theme="1"/>
        <rFont val="Aptos Narrow"/>
        <family val="2"/>
        <scheme val="minor"/>
      </rPr>
      <t>, the probability of every value is constant.</t>
    </r>
  </si>
  <si>
    <t>For a fair die:</t>
  </si>
  <si>
    <r>
      <t xml:space="preserve">Probability does </t>
    </r>
    <r>
      <rPr>
        <b/>
        <sz val="11"/>
        <color theme="1"/>
        <rFont val="Aptos Narrow"/>
        <family val="2"/>
        <scheme val="minor"/>
      </rPr>
      <t>not change</t>
    </r>
    <r>
      <rPr>
        <sz val="11"/>
        <color theme="1"/>
        <rFont val="Aptos Narrow"/>
        <family val="2"/>
        <scheme val="minor"/>
      </rPr>
      <t xml:space="preserve"> from one number to another</t>
    </r>
  </si>
  <si>
    <t>No outcome is favored</t>
  </si>
  <si>
    <r>
      <t xml:space="preserve">Hence, the probability mass function is </t>
    </r>
    <r>
      <rPr>
        <b/>
        <sz val="11"/>
        <color theme="1"/>
        <rFont val="Aptos Narrow"/>
        <family val="2"/>
        <scheme val="minor"/>
      </rPr>
      <t>flat</t>
    </r>
    <r>
      <rPr>
        <sz val="11"/>
        <color theme="1"/>
        <rFont val="Aptos Narrow"/>
        <family val="2"/>
        <scheme val="minor"/>
      </rPr>
      <t>, just like a uniform distribution.</t>
    </r>
  </si>
  <si>
    <t>Symmetry and No Bias</t>
  </si>
  <si>
    <r>
      <t xml:space="preserve">There is </t>
    </r>
    <r>
      <rPr>
        <b/>
        <sz val="11"/>
        <color theme="1"/>
        <rFont val="Aptos Narrow"/>
        <family val="2"/>
        <scheme val="minor"/>
      </rPr>
      <t>no skewness</t>
    </r>
    <r>
      <rPr>
        <sz val="11"/>
        <color theme="1"/>
        <rFont val="Aptos Narrow"/>
        <family val="2"/>
        <scheme val="minor"/>
      </rPr>
      <t xml:space="preserve"> (symmetric distribution)</t>
    </r>
  </si>
  <si>
    <t>No outcome occurs more often in the long run</t>
  </si>
  <si>
    <t>Over many rolls, frequencies of all faces become approximately equal</t>
  </si>
  <si>
    <t>(Law of Large Numbers)</t>
  </si>
  <si>
    <t>Simple and Accurate Representation</t>
  </si>
  <si>
    <t>Using a uniform distribution:</t>
  </si>
  <si>
    <r>
      <t xml:space="preserve">Accurately reflects the </t>
    </r>
    <r>
      <rPr>
        <b/>
        <sz val="11"/>
        <color theme="1"/>
        <rFont val="Aptos Narrow"/>
        <family val="2"/>
        <scheme val="minor"/>
      </rPr>
      <t>random and fair nature</t>
    </r>
    <r>
      <rPr>
        <sz val="11"/>
        <color theme="1"/>
        <rFont val="Aptos Narrow"/>
        <family val="2"/>
        <scheme val="minor"/>
      </rPr>
      <t xml:space="preserve"> of the die</t>
    </r>
  </si>
  <si>
    <t>Makes it easier to calculate:</t>
  </si>
  <si>
    <t>Variance</t>
  </si>
  <si>
    <t>Probabilities</t>
  </si>
  <si>
    <t>Mean = 3.5</t>
  </si>
  <si>
    <t>Variance=35/12</t>
  </si>
  <si>
    <t>When the Model Would Fail</t>
  </si>
  <si>
    <r>
      <t xml:space="preserve">The uniform distribution would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be suitable if:</t>
    </r>
  </si>
  <si>
    <r>
      <t xml:space="preserve">The die is </t>
    </r>
    <r>
      <rPr>
        <b/>
        <sz val="11"/>
        <color theme="1"/>
        <rFont val="Aptos Narrow"/>
        <family val="2"/>
        <scheme val="minor"/>
      </rPr>
      <t>biased or loaded</t>
    </r>
  </si>
  <si>
    <t>Some faces appear more frequently than others</t>
  </si>
  <si>
    <t>In such cases, probabilities are unequal.</t>
  </si>
  <si>
    <r>
      <t xml:space="preserve">The uniform distribution is a good model for rolling a fair die because </t>
    </r>
    <r>
      <rPr>
        <b/>
        <sz val="11"/>
        <color theme="1"/>
        <rFont val="Aptos Narrow"/>
        <family val="2"/>
        <scheme val="minor"/>
      </rPr>
      <t>all outcomes are equally likely, probabilities are constant, and the process is random and unbiased</t>
    </r>
    <r>
      <rPr>
        <sz val="11"/>
        <color theme="1"/>
        <rFont val="Aptos Narrow"/>
        <family val="2"/>
        <scheme val="minor"/>
      </rPr>
      <t>.</t>
    </r>
  </si>
  <si>
    <t>Q NO 7:</t>
  </si>
  <si>
    <t>Use Excel to compute the probability of getting at least 8 successes in 15 trials with success probability 0.5</t>
  </si>
  <si>
    <r>
      <t xml:space="preserve">Number of trials, </t>
    </r>
    <r>
      <rPr>
        <b/>
        <sz val="11"/>
        <color theme="1"/>
        <rFont val="Aptos Narrow"/>
        <family val="2"/>
        <scheme val="minor"/>
      </rPr>
      <t>n = 15</t>
    </r>
  </si>
  <si>
    <r>
      <t xml:space="preserve">Probability of success, </t>
    </r>
    <r>
      <rPr>
        <b/>
        <sz val="11"/>
        <color theme="1"/>
        <rFont val="Aptos Narrow"/>
        <family val="2"/>
        <scheme val="minor"/>
      </rPr>
      <t>p = 0.5</t>
    </r>
  </si>
  <si>
    <t>We want:</t>
  </si>
  <si>
    <t>P(X≥8)</t>
  </si>
  <si>
    <t>Method 1</t>
  </si>
  <si>
    <t>Using BINOM.DIST</t>
  </si>
  <si>
    <t>1-BINOM.DIST(7,15,0.5)</t>
  </si>
  <si>
    <t>BINOM.DIST(7,15,0.5,TRUE)</t>
  </si>
  <si>
    <t>gives</t>
  </si>
  <si>
    <t>P(X≤7)</t>
  </si>
  <si>
    <t>Subtracting from 1 gives</t>
  </si>
  <si>
    <t>Final Answer</t>
  </si>
  <si>
    <t>P(X≥8)=0.5</t>
  </si>
  <si>
    <t>Method 2</t>
  </si>
  <si>
    <t>Create the Table</t>
  </si>
  <si>
    <t>A (x)</t>
  </si>
  <si>
    <t>B (Probability)</t>
  </si>
  <si>
    <t>Add Probabilities</t>
  </si>
  <si>
    <t>FORMULA=SUM(0.196380615:3.05176E-05)</t>
  </si>
  <si>
    <r>
      <t xml:space="preserve">the probability of getting </t>
    </r>
    <r>
      <rPr>
        <b/>
        <sz val="11"/>
        <color theme="1"/>
        <rFont val="Aptos Narrow"/>
        <family val="2"/>
        <scheme val="minor"/>
      </rPr>
      <t>at least 8 successes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15 trials</t>
    </r>
    <r>
      <rPr>
        <sz val="11"/>
        <color theme="1"/>
        <rFont val="Aptos Narrow"/>
        <family val="2"/>
        <scheme val="minor"/>
      </rPr>
      <t xml:space="preserve"> with success probability </t>
    </r>
    <r>
      <rPr>
        <b/>
        <sz val="11"/>
        <color theme="1"/>
        <rFont val="Aptos Narrow"/>
        <family val="2"/>
        <scheme val="minor"/>
      </rPr>
      <t>0.5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0.5</t>
    </r>
    <r>
      <rPr>
        <sz val="11"/>
        <color theme="1"/>
        <rFont val="Aptos Narrow"/>
        <family val="2"/>
        <scheme val="minor"/>
      </rPr>
      <t>.</t>
    </r>
  </si>
  <si>
    <t>Q NO 8:</t>
  </si>
  <si>
    <t>How does log transformation help in stabilizing variance and making data more normally distributed?</t>
  </si>
  <si>
    <r>
      <t xml:space="preserve">Log transformation is a common data preprocessing technique used to </t>
    </r>
    <r>
      <rPr>
        <b/>
        <sz val="11"/>
        <color theme="1"/>
        <rFont val="Aptos Narrow"/>
        <family val="2"/>
        <scheme val="minor"/>
      </rPr>
      <t>stabilize variance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make data more normally distributed</t>
    </r>
    <r>
      <rPr>
        <sz val="11"/>
        <color theme="1"/>
        <rFont val="Aptos Narrow"/>
        <family val="2"/>
        <scheme val="minor"/>
      </rPr>
      <t xml:space="preserve">, especially when dealing with </t>
    </r>
    <r>
      <rPr>
        <b/>
        <sz val="11"/>
        <color theme="1"/>
        <rFont val="Aptos Narrow"/>
        <family val="2"/>
        <scheme val="minor"/>
      </rPr>
      <t>positively skewed data</t>
    </r>
    <r>
      <rPr>
        <sz val="11"/>
        <color theme="1"/>
        <rFont val="Aptos Narrow"/>
        <family val="2"/>
        <scheme val="minor"/>
      </rPr>
      <t>.</t>
    </r>
  </si>
  <si>
    <t>. What Is Log Transformation?</t>
  </si>
  <si>
    <t>Log transformation means replacing each data value xxx with its logarithm:</t>
  </si>
  <si>
    <t>y=log⁡(x)</t>
  </si>
  <si>
    <t>Common types:</t>
  </si>
  <si>
    <r>
      <rPr>
        <b/>
        <sz val="11"/>
        <color rgb="FF000000"/>
        <rFont val="Aptos Narrow"/>
        <scheme val="minor"/>
      </rPr>
      <t>Log base 10:</t>
    </r>
    <r>
      <rPr>
        <sz val="11"/>
        <color rgb="FF000000"/>
        <rFont val="Aptos Narrow"/>
        <scheme val="minor"/>
      </rPr>
      <t xml:space="preserve"> log⁡10(x)</t>
    </r>
  </si>
  <si>
    <r>
      <rPr>
        <b/>
        <sz val="11"/>
        <color rgb="FF000000"/>
        <rFont val="Aptos Narrow"/>
        <scheme val="minor"/>
      </rPr>
      <t>Natural log:</t>
    </r>
    <r>
      <rPr>
        <sz val="11"/>
        <color rgb="FF000000"/>
        <rFont val="Aptos Narrow"/>
        <scheme val="minor"/>
      </rPr>
      <t xml:space="preserve"> ln⁡(x)</t>
    </r>
  </si>
  <si>
    <r>
      <t xml:space="preserve">Note: Log transformation is applied only to </t>
    </r>
    <r>
      <rPr>
        <b/>
        <sz val="11"/>
        <color theme="1"/>
        <rFont val="Aptos Narrow"/>
        <family val="2"/>
        <scheme val="minor"/>
      </rPr>
      <t>positive values</t>
    </r>
    <r>
      <rPr>
        <sz val="11"/>
        <color theme="1"/>
        <rFont val="Aptos Narrow"/>
        <family val="2"/>
        <scheme val="minor"/>
      </rPr>
      <t>.</t>
    </r>
  </si>
  <si>
    <t>How Log Transformation Stabilizes Variance</t>
  </si>
  <si>
    <t>Problem: Increasing Variance</t>
  </si>
  <si>
    <t>In many datasets:</t>
  </si>
  <si>
    <t>Variance increases as the mean increases</t>
  </si>
  <si>
    <t>Example: income, sales, population, stock prices</t>
  </si>
  <si>
    <t>Solution: Compression of Large Values</t>
  </si>
  <si>
    <r>
      <t xml:space="preserve">Log reduces the scale of </t>
    </r>
    <r>
      <rPr>
        <b/>
        <sz val="11"/>
        <color theme="1"/>
        <rFont val="Aptos Narrow"/>
        <family val="2"/>
        <scheme val="minor"/>
      </rPr>
      <t>large values more than small values</t>
    </r>
  </si>
  <si>
    <t>This compresses wide-ranging data</t>
  </si>
  <si>
    <r>
      <t xml:space="preserve">As a result, variance becomes more </t>
    </r>
    <r>
      <rPr>
        <b/>
        <sz val="11"/>
        <color theme="1"/>
        <rFont val="Aptos Narrow"/>
        <family val="2"/>
        <scheme val="minor"/>
      </rPr>
      <t>constant across levels</t>
    </r>
  </si>
  <si>
    <t>Original values: 10, 100, 1000</t>
  </si>
  <si>
    <t>Log values: 1, 2, 3</t>
  </si>
  <si>
    <t>Large gaps shrink → variance stabilizes</t>
  </si>
  <si>
    <t>How Log Transformation Makes Data More Normal</t>
  </si>
  <si>
    <t>Problem: Right-Skewed Data</t>
  </si>
  <si>
    <r>
      <t xml:space="preserve">Many real-world datasets are </t>
    </r>
    <r>
      <rPr>
        <b/>
        <sz val="11"/>
        <color theme="1"/>
        <rFont val="Aptos Narrow"/>
        <family val="2"/>
        <scheme val="minor"/>
      </rPr>
      <t>positively skewed</t>
    </r>
  </si>
  <si>
    <t>Long right tail due to extreme values</t>
  </si>
  <si>
    <t>Effect of Log Transformation</t>
  </si>
  <si>
    <t>Pulls in the right tail</t>
  </si>
  <si>
    <t>Reduces skewness</t>
  </si>
  <si>
    <r>
      <t xml:space="preserve">Makes distribution more </t>
    </r>
    <r>
      <rPr>
        <b/>
        <sz val="11"/>
        <color theme="1"/>
        <rFont val="Aptos Narrow"/>
        <family val="2"/>
        <scheme val="minor"/>
      </rPr>
      <t>symmetric</t>
    </r>
  </si>
  <si>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Before log:</t>
    </r>
    <r>
      <rPr>
        <sz val="11"/>
        <color rgb="FF000000"/>
        <rFont val="Aptos Narrow"/>
        <scheme val="minor"/>
      </rPr>
      <t xml:space="preserve"> Right-skewed</t>
    </r>
  </si>
  <si>
    <r>
      <rPr>
        <b/>
        <sz val="11"/>
        <color rgb="FF000000"/>
        <rFont val="Aptos Narrow"/>
        <scheme val="minor"/>
      </rPr>
      <t>After log:</t>
    </r>
    <r>
      <rPr>
        <sz val="11"/>
        <color rgb="FF000000"/>
        <rFont val="Aptos Narrow"/>
        <scheme val="minor"/>
      </rPr>
      <t xml:space="preserve"> Approximately normal</t>
    </r>
  </si>
  <si>
    <t>Visual Explanation</t>
  </si>
  <si>
    <t>Original Data</t>
  </si>
  <si>
    <t>Log-Transformed Data</t>
  </si>
  <si>
    <t>Highly skewed</t>
  </si>
  <si>
    <t>More symmetric</t>
  </si>
  <si>
    <t>Large outliers</t>
  </si>
  <si>
    <t>Outliers reduced</t>
  </si>
  <si>
    <t>Non-constant variance</t>
  </si>
  <si>
    <t>Stable variance</t>
  </si>
  <si>
    <t>Why This Is Important in Data Analysis</t>
  </si>
  <si>
    <r>
      <t xml:space="preserve">Many statistical tests assume </t>
    </r>
    <r>
      <rPr>
        <b/>
        <sz val="11"/>
        <color theme="1"/>
        <rFont val="Aptos Narrow"/>
        <family val="2"/>
        <scheme val="minor"/>
      </rPr>
      <t>normality</t>
    </r>
  </si>
  <si>
    <r>
      <t xml:space="preserve">Regression assumes </t>
    </r>
    <r>
      <rPr>
        <b/>
        <sz val="11"/>
        <color theme="1"/>
        <rFont val="Aptos Narrow"/>
        <family val="2"/>
        <scheme val="minor"/>
      </rPr>
      <t>constant variance (homoscedasticity)</t>
    </r>
  </si>
  <si>
    <r>
      <t xml:space="preserve">Improves </t>
    </r>
    <r>
      <rPr>
        <b/>
        <sz val="11"/>
        <color theme="1"/>
        <rFont val="Aptos Narrow"/>
        <family val="2"/>
        <scheme val="minor"/>
      </rPr>
      <t>model accuracy and interpretation</t>
    </r>
  </si>
  <si>
    <r>
      <t xml:space="preserve">Makes relationships more </t>
    </r>
    <r>
      <rPr>
        <b/>
        <sz val="11"/>
        <color theme="1"/>
        <rFont val="Aptos Narrow"/>
        <family val="2"/>
        <scheme val="minor"/>
      </rPr>
      <t>linear</t>
    </r>
  </si>
  <si>
    <t>Simple Example</t>
  </si>
  <si>
    <t>Suppose sales data:</t>
  </si>
  <si>
    <t>100, 200, 500, 2000, 10000</t>
  </si>
  <si>
    <t>After log transformation:</t>
  </si>
  <si>
    <t>2, 2.3, 2.7, 3.3, 4</t>
  </si>
  <si>
    <t>Distribution becomes less skewed and variance is reduced.</t>
  </si>
  <si>
    <t>#</t>
  </si>
  <si>
    <t>Log transformation stabilizes variance by compressing large values and makes data more normally distributed by reducing right skewness and the impact of extreme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</si>
</sst>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Courier New"/>
      <charset val="1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16" fontId="0" fillId="0" borderId="0" xfId="0" applyNumberFormat="1"/>
    <xf numFmtId="0" fontId="0" fillId="2" borderId="0" xfId="0" applyFill="1"/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0" fillId="3" borderId="0" xfId="0" applyFill="1"/>
    <xf numFmtId="0" fontId="6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/>
    <xf numFmtId="0" fontId="6" fillId="4" borderId="0" xfId="0" applyFont="1" applyFill="1"/>
    <xf numFmtId="0" fontId="0" fillId="4" borderId="0" xfId="0" applyFill="1"/>
    <xf numFmtId="0" fontId="8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00000000-1BFB-4A70-A493-D60D4CEA8F4B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150</xdr:row>
      <xdr:rowOff>171450</xdr:rowOff>
    </xdr:from>
    <xdr:to>
      <xdr:col>8</xdr:col>
      <xdr:colOff>552450</xdr:colOff>
      <xdr:row>165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F47E003-8861-5342-8B91-34F44CE719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5"/>
  <sheetViews>
    <sheetView topLeftCell="A60" workbookViewId="0">
      <selection activeCell="C3" sqref="C3"/>
    </sheetView>
  </sheetViews>
  <sheetFormatPr defaultRowHeight="15"/>
  <cols>
    <col min="2" max="2" width="36.5703125" bestFit="1" customWidth="1"/>
    <col min="3" max="3" width="10.85546875" bestFit="1" customWidth="1"/>
  </cols>
  <sheetData>
    <row r="1" spans="1:4" ht="24">
      <c r="B1" s="21" t="s">
        <v>0</v>
      </c>
      <c r="C1" s="19" t="s">
        <v>1</v>
      </c>
      <c r="D1" s="20"/>
    </row>
    <row r="3" spans="1:4" ht="57.75">
      <c r="A3" t="s">
        <v>2</v>
      </c>
      <c r="B3" s="1" t="s">
        <v>3</v>
      </c>
    </row>
    <row r="4" spans="1:4">
      <c r="B4" s="2"/>
    </row>
    <row r="5" spans="1:4">
      <c r="B5" s="1"/>
    </row>
    <row r="7" spans="1:4" ht="29.25">
      <c r="A7" t="s">
        <v>4</v>
      </c>
      <c r="B7" s="1" t="s">
        <v>5</v>
      </c>
    </row>
    <row r="8" spans="1:4">
      <c r="B8">
        <f ca="1">RANDBETWEEN(1,6)</f>
        <v>1</v>
      </c>
    </row>
    <row r="9" spans="1:4">
      <c r="B9">
        <f t="shared" ref="B9:B37" ca="1" si="0">RANDBETWEEN(1,6)</f>
        <v>4</v>
      </c>
    </row>
    <row r="10" spans="1:4">
      <c r="B10">
        <f t="shared" ca="1" si="0"/>
        <v>6</v>
      </c>
    </row>
    <row r="11" spans="1:4">
      <c r="B11">
        <f t="shared" ca="1" si="0"/>
        <v>6</v>
      </c>
    </row>
    <row r="12" spans="1:4">
      <c r="B12">
        <f t="shared" ca="1" si="0"/>
        <v>1</v>
      </c>
    </row>
    <row r="13" spans="1:4">
      <c r="B13">
        <f t="shared" ca="1" si="0"/>
        <v>3</v>
      </c>
    </row>
    <row r="14" spans="1:4">
      <c r="B14">
        <f t="shared" ca="1" si="0"/>
        <v>4</v>
      </c>
    </row>
    <row r="15" spans="1:4">
      <c r="B15">
        <f t="shared" ca="1" si="0"/>
        <v>4</v>
      </c>
    </row>
    <row r="16" spans="1:4">
      <c r="B16">
        <f t="shared" ca="1" si="0"/>
        <v>4</v>
      </c>
    </row>
    <row r="17" spans="2:2">
      <c r="B17">
        <f t="shared" ca="1" si="0"/>
        <v>2</v>
      </c>
    </row>
    <row r="18" spans="2:2">
      <c r="B18">
        <f t="shared" ca="1" si="0"/>
        <v>5</v>
      </c>
    </row>
    <row r="19" spans="2:2">
      <c r="B19">
        <f t="shared" ca="1" si="0"/>
        <v>1</v>
      </c>
    </row>
    <row r="20" spans="2:2">
      <c r="B20">
        <f t="shared" ca="1" si="0"/>
        <v>6</v>
      </c>
    </row>
    <row r="21" spans="2:2">
      <c r="B21">
        <f t="shared" ca="1" si="0"/>
        <v>2</v>
      </c>
    </row>
    <row r="22" spans="2:2">
      <c r="B22">
        <f t="shared" ca="1" si="0"/>
        <v>1</v>
      </c>
    </row>
    <row r="23" spans="2:2">
      <c r="B23">
        <f t="shared" ca="1" si="0"/>
        <v>1</v>
      </c>
    </row>
    <row r="24" spans="2:2">
      <c r="B24">
        <f t="shared" ca="1" si="0"/>
        <v>1</v>
      </c>
    </row>
    <row r="25" spans="2:2">
      <c r="B25">
        <f t="shared" ca="1" si="0"/>
        <v>2</v>
      </c>
    </row>
    <row r="26" spans="2:2">
      <c r="B26">
        <f t="shared" ca="1" si="0"/>
        <v>4</v>
      </c>
    </row>
    <row r="27" spans="2:2">
      <c r="B27">
        <f t="shared" ca="1" si="0"/>
        <v>6</v>
      </c>
    </row>
    <row r="28" spans="2:2">
      <c r="B28">
        <f t="shared" ca="1" si="0"/>
        <v>1</v>
      </c>
    </row>
    <row r="29" spans="2:2">
      <c r="B29">
        <f t="shared" ca="1" si="0"/>
        <v>3</v>
      </c>
    </row>
    <row r="30" spans="2:2">
      <c r="B30">
        <f t="shared" ca="1" si="0"/>
        <v>2</v>
      </c>
    </row>
    <row r="31" spans="2:2">
      <c r="B31">
        <f t="shared" ca="1" si="0"/>
        <v>2</v>
      </c>
    </row>
    <row r="32" spans="2:2">
      <c r="B32">
        <f t="shared" ca="1" si="0"/>
        <v>6</v>
      </c>
    </row>
    <row r="33" spans="1:3">
      <c r="B33">
        <f t="shared" ca="1" si="0"/>
        <v>5</v>
      </c>
    </row>
    <row r="34" spans="1:3">
      <c r="B34">
        <f t="shared" ca="1" si="0"/>
        <v>2</v>
      </c>
    </row>
    <row r="35" spans="1:3">
      <c r="B35">
        <f t="shared" ca="1" si="0"/>
        <v>4</v>
      </c>
    </row>
    <row r="36" spans="1:3">
      <c r="B36">
        <f t="shared" ca="1" si="0"/>
        <v>3</v>
      </c>
    </row>
    <row r="37" spans="1:3">
      <c r="B37">
        <f t="shared" ca="1" si="0"/>
        <v>5</v>
      </c>
    </row>
    <row r="39" spans="1:3">
      <c r="B39" t="s">
        <v>6</v>
      </c>
      <c r="C39" s="4">
        <f ca="1">COUNTIF(B8:B37,3)</f>
        <v>3</v>
      </c>
    </row>
    <row r="40" spans="1:3">
      <c r="B40" t="s">
        <v>7</v>
      </c>
      <c r="C40">
        <v>30</v>
      </c>
    </row>
    <row r="41" spans="1:3">
      <c r="B41" t="s">
        <v>8</v>
      </c>
      <c r="C41" s="3" t="s">
        <v>9</v>
      </c>
    </row>
    <row r="42" spans="1:3">
      <c r="B42" t="s">
        <v>10</v>
      </c>
      <c r="C42">
        <v>5</v>
      </c>
    </row>
    <row r="44" spans="1:3">
      <c r="B44" t="s">
        <v>11</v>
      </c>
      <c r="C44" s="4">
        <f>_xlfn.BINOM.DIST(5,30,1/6,FALSE)</f>
        <v>0.19210813105163416</v>
      </c>
    </row>
    <row r="46" spans="1:3">
      <c r="B46" t="s">
        <v>12</v>
      </c>
      <c r="C46" s="4">
        <f>_xlfn.BINOM.DIST(5,30,1/6,FALSE)</f>
        <v>0.19210813105163416</v>
      </c>
    </row>
    <row r="48" spans="1:3" ht="57.75">
      <c r="A48" t="s">
        <v>13</v>
      </c>
      <c r="B48" s="1" t="s">
        <v>14</v>
      </c>
    </row>
    <row r="49" spans="1:2">
      <c r="A49" t="s">
        <v>4</v>
      </c>
    </row>
    <row r="50" spans="1:2">
      <c r="B50">
        <f ca="1">RAND()</f>
        <v>0.10000564001610512</v>
      </c>
    </row>
    <row r="51" spans="1:2">
      <c r="B51">
        <f t="shared" ref="B51:B114" ca="1" si="1">RAND()</f>
        <v>0.21408554822460435</v>
      </c>
    </row>
    <row r="52" spans="1:2">
      <c r="B52">
        <f t="shared" ca="1" si="1"/>
        <v>0.18476237449254718</v>
      </c>
    </row>
    <row r="53" spans="1:2">
      <c r="B53">
        <f t="shared" ca="1" si="1"/>
        <v>0.40597309209961729</v>
      </c>
    </row>
    <row r="54" spans="1:2">
      <c r="B54">
        <f t="shared" ca="1" si="1"/>
        <v>0.1118062158705293</v>
      </c>
    </row>
    <row r="55" spans="1:2">
      <c r="B55">
        <f t="shared" ca="1" si="1"/>
        <v>0.28881856782120086</v>
      </c>
    </row>
    <row r="56" spans="1:2">
      <c r="B56">
        <f t="shared" ca="1" si="1"/>
        <v>0.8938127198084771</v>
      </c>
    </row>
    <row r="57" spans="1:2">
      <c r="B57">
        <f t="shared" ca="1" si="1"/>
        <v>0.95215251075833185</v>
      </c>
    </row>
    <row r="58" spans="1:2">
      <c r="B58">
        <f t="shared" ca="1" si="1"/>
        <v>0.99358378498367783</v>
      </c>
    </row>
    <row r="59" spans="1:2">
      <c r="B59">
        <f t="shared" ca="1" si="1"/>
        <v>0.5522192763494983</v>
      </c>
    </row>
    <row r="60" spans="1:2">
      <c r="B60">
        <f t="shared" ca="1" si="1"/>
        <v>0.82246533502531238</v>
      </c>
    </row>
    <row r="61" spans="1:2">
      <c r="B61">
        <f t="shared" ca="1" si="1"/>
        <v>0.25516248987655576</v>
      </c>
    </row>
    <row r="62" spans="1:2">
      <c r="B62">
        <f t="shared" ca="1" si="1"/>
        <v>0.17893621667267767</v>
      </c>
    </row>
    <row r="63" spans="1:2">
      <c r="B63">
        <f t="shared" ca="1" si="1"/>
        <v>0.44582811036834147</v>
      </c>
    </row>
    <row r="64" spans="1:2">
      <c r="B64">
        <f t="shared" ca="1" si="1"/>
        <v>0.28305595330506328</v>
      </c>
    </row>
    <row r="65" spans="2:2">
      <c r="B65">
        <f t="shared" ca="1" si="1"/>
        <v>0.34960375011806522</v>
      </c>
    </row>
    <row r="66" spans="2:2">
      <c r="B66">
        <f t="shared" ca="1" si="1"/>
        <v>0.64302715241550168</v>
      </c>
    </row>
    <row r="67" spans="2:2">
      <c r="B67">
        <f t="shared" ca="1" si="1"/>
        <v>2.2922722976675414E-2</v>
      </c>
    </row>
    <row r="68" spans="2:2">
      <c r="B68">
        <f t="shared" ca="1" si="1"/>
        <v>0.20746594087548587</v>
      </c>
    </row>
    <row r="69" spans="2:2">
      <c r="B69">
        <f t="shared" ca="1" si="1"/>
        <v>0.16830209887781733</v>
      </c>
    </row>
    <row r="70" spans="2:2">
      <c r="B70">
        <f t="shared" ca="1" si="1"/>
        <v>0.895741834377214</v>
      </c>
    </row>
    <row r="71" spans="2:2">
      <c r="B71">
        <f t="shared" ca="1" si="1"/>
        <v>0.93577766484436542</v>
      </c>
    </row>
    <row r="72" spans="2:2">
      <c r="B72">
        <f t="shared" ca="1" si="1"/>
        <v>0.88696770501875732</v>
      </c>
    </row>
    <row r="73" spans="2:2">
      <c r="B73">
        <f t="shared" ca="1" si="1"/>
        <v>0.74359593191973494</v>
      </c>
    </row>
    <row r="74" spans="2:2">
      <c r="B74">
        <f t="shared" ca="1" si="1"/>
        <v>0.70738519847623571</v>
      </c>
    </row>
    <row r="75" spans="2:2">
      <c r="B75">
        <f t="shared" ca="1" si="1"/>
        <v>0.50118247578202113</v>
      </c>
    </row>
    <row r="76" spans="2:2">
      <c r="B76">
        <f t="shared" ca="1" si="1"/>
        <v>0.31121885256265991</v>
      </c>
    </row>
    <row r="77" spans="2:2">
      <c r="B77">
        <f t="shared" ca="1" si="1"/>
        <v>0.7369711629317045</v>
      </c>
    </row>
    <row r="78" spans="2:2">
      <c r="B78">
        <f t="shared" ca="1" si="1"/>
        <v>0.85425700785100833</v>
      </c>
    </row>
    <row r="79" spans="2:2">
      <c r="B79">
        <f t="shared" ca="1" si="1"/>
        <v>0.4287626184848341</v>
      </c>
    </row>
    <row r="80" spans="2:2">
      <c r="B80">
        <f t="shared" ca="1" si="1"/>
        <v>0.86998484004864984</v>
      </c>
    </row>
    <row r="81" spans="2:2">
      <c r="B81">
        <f t="shared" ca="1" si="1"/>
        <v>0.57258260303461539</v>
      </c>
    </row>
    <row r="82" spans="2:2">
      <c r="B82">
        <f t="shared" ca="1" si="1"/>
        <v>0.75536614395072532</v>
      </c>
    </row>
    <row r="83" spans="2:2">
      <c r="B83">
        <f t="shared" ca="1" si="1"/>
        <v>0.57548265343133853</v>
      </c>
    </row>
    <row r="84" spans="2:2">
      <c r="B84">
        <f t="shared" ca="1" si="1"/>
        <v>0.95616869259863002</v>
      </c>
    </row>
    <row r="85" spans="2:2">
      <c r="B85">
        <f t="shared" ca="1" si="1"/>
        <v>0.13867545479025201</v>
      </c>
    </row>
    <row r="86" spans="2:2">
      <c r="B86">
        <f t="shared" ca="1" si="1"/>
        <v>0.17974344574855616</v>
      </c>
    </row>
    <row r="87" spans="2:2">
      <c r="B87">
        <f t="shared" ca="1" si="1"/>
        <v>0.47695011218920058</v>
      </c>
    </row>
    <row r="88" spans="2:2">
      <c r="B88">
        <f t="shared" ca="1" si="1"/>
        <v>0.22429576206940749</v>
      </c>
    </row>
    <row r="89" spans="2:2">
      <c r="B89">
        <f t="shared" ca="1" si="1"/>
        <v>0.46326597550962445</v>
      </c>
    </row>
    <row r="90" spans="2:2">
      <c r="B90">
        <f t="shared" ca="1" si="1"/>
        <v>0.42247345800741198</v>
      </c>
    </row>
    <row r="91" spans="2:2">
      <c r="B91">
        <f t="shared" ca="1" si="1"/>
        <v>0.53784468808499641</v>
      </c>
    </row>
    <row r="92" spans="2:2">
      <c r="B92">
        <f t="shared" ca="1" si="1"/>
        <v>9.1610868893101216E-2</v>
      </c>
    </row>
    <row r="93" spans="2:2">
      <c r="B93">
        <f t="shared" ca="1" si="1"/>
        <v>0.53279845196935904</v>
      </c>
    </row>
    <row r="94" spans="2:2">
      <c r="B94">
        <f t="shared" ca="1" si="1"/>
        <v>0.1669958285163673</v>
      </c>
    </row>
    <row r="95" spans="2:2">
      <c r="B95">
        <f t="shared" ca="1" si="1"/>
        <v>0.95705740342026502</v>
      </c>
    </row>
    <row r="96" spans="2:2">
      <c r="B96">
        <f t="shared" ca="1" si="1"/>
        <v>0.85259434369497977</v>
      </c>
    </row>
    <row r="97" spans="2:2">
      <c r="B97">
        <f t="shared" ca="1" si="1"/>
        <v>5.0289956169335959E-3</v>
      </c>
    </row>
    <row r="98" spans="2:2">
      <c r="B98">
        <f t="shared" ca="1" si="1"/>
        <v>0.61219918341088897</v>
      </c>
    </row>
    <row r="99" spans="2:2">
      <c r="B99">
        <f t="shared" ca="1" si="1"/>
        <v>0.71205645228954861</v>
      </c>
    </row>
    <row r="100" spans="2:2">
      <c r="B100">
        <f t="shared" ca="1" si="1"/>
        <v>0.72518444400872606</v>
      </c>
    </row>
    <row r="101" spans="2:2">
      <c r="B101">
        <f t="shared" ca="1" si="1"/>
        <v>0.15893282577018675</v>
      </c>
    </row>
    <row r="102" spans="2:2">
      <c r="B102">
        <f t="shared" ca="1" si="1"/>
        <v>0.89099090343055853</v>
      </c>
    </row>
    <row r="103" spans="2:2">
      <c r="B103">
        <f t="shared" ca="1" si="1"/>
        <v>0.19746665495042959</v>
      </c>
    </row>
    <row r="104" spans="2:2">
      <c r="B104">
        <f t="shared" ca="1" si="1"/>
        <v>0.444292072220971</v>
      </c>
    </row>
    <row r="105" spans="2:2">
      <c r="B105">
        <f t="shared" ca="1" si="1"/>
        <v>0.41007280766242271</v>
      </c>
    </row>
    <row r="106" spans="2:2">
      <c r="B106">
        <f t="shared" ca="1" si="1"/>
        <v>0.52678947612226457</v>
      </c>
    </row>
    <row r="107" spans="2:2">
      <c r="B107">
        <f t="shared" ca="1" si="1"/>
        <v>0.61502935326847563</v>
      </c>
    </row>
    <row r="108" spans="2:2">
      <c r="B108">
        <f t="shared" ca="1" si="1"/>
        <v>0.18364618459341442</v>
      </c>
    </row>
    <row r="109" spans="2:2">
      <c r="B109">
        <f t="shared" ca="1" si="1"/>
        <v>0.78713874642775505</v>
      </c>
    </row>
    <row r="110" spans="2:2">
      <c r="B110">
        <f t="shared" ca="1" si="1"/>
        <v>0.7921375253672972</v>
      </c>
    </row>
    <row r="111" spans="2:2">
      <c r="B111">
        <f t="shared" ca="1" si="1"/>
        <v>0.55761620623796015</v>
      </c>
    </row>
    <row r="112" spans="2:2">
      <c r="B112">
        <f t="shared" ca="1" si="1"/>
        <v>0.32941801402661164</v>
      </c>
    </row>
    <row r="113" spans="2:2">
      <c r="B113">
        <f t="shared" ca="1" si="1"/>
        <v>0.28312300285966052</v>
      </c>
    </row>
    <row r="114" spans="2:2">
      <c r="B114">
        <f t="shared" ca="1" si="1"/>
        <v>0.73042958855444129</v>
      </c>
    </row>
    <row r="115" spans="2:2">
      <c r="B115">
        <f t="shared" ref="B115:B150" ca="1" si="2">RAND()</f>
        <v>0.66969924612783782</v>
      </c>
    </row>
    <row r="116" spans="2:2">
      <c r="B116">
        <f t="shared" ca="1" si="2"/>
        <v>0.31551479642609892</v>
      </c>
    </row>
    <row r="117" spans="2:2">
      <c r="B117">
        <f t="shared" ca="1" si="2"/>
        <v>0.5966428590842654</v>
      </c>
    </row>
    <row r="118" spans="2:2">
      <c r="B118">
        <f t="shared" ca="1" si="2"/>
        <v>3.4580894593151723E-2</v>
      </c>
    </row>
    <row r="119" spans="2:2">
      <c r="B119">
        <f t="shared" ca="1" si="2"/>
        <v>0.74035285806031226</v>
      </c>
    </row>
    <row r="120" spans="2:2">
      <c r="B120">
        <f t="shared" ca="1" si="2"/>
        <v>0.4935161191777675</v>
      </c>
    </row>
    <row r="121" spans="2:2">
      <c r="B121">
        <f t="shared" ca="1" si="2"/>
        <v>0.39614583434744066</v>
      </c>
    </row>
    <row r="122" spans="2:2">
      <c r="B122">
        <f t="shared" ca="1" si="2"/>
        <v>0.53920450533616693</v>
      </c>
    </row>
    <row r="123" spans="2:2">
      <c r="B123">
        <f t="shared" ca="1" si="2"/>
        <v>0.73484821496995967</v>
      </c>
    </row>
    <row r="124" spans="2:2">
      <c r="B124">
        <f t="shared" ca="1" si="2"/>
        <v>0.45364137754412182</v>
      </c>
    </row>
    <row r="125" spans="2:2">
      <c r="B125">
        <f t="shared" ca="1" si="2"/>
        <v>0.63266487465775223</v>
      </c>
    </row>
    <row r="126" spans="2:2">
      <c r="B126">
        <f t="shared" ca="1" si="2"/>
        <v>0.77010179477393859</v>
      </c>
    </row>
    <row r="127" spans="2:2">
      <c r="B127">
        <f t="shared" ca="1" si="2"/>
        <v>0.89141258201870621</v>
      </c>
    </row>
    <row r="128" spans="2:2">
      <c r="B128">
        <f t="shared" ca="1" si="2"/>
        <v>0.51121423983651249</v>
      </c>
    </row>
    <row r="129" spans="2:2">
      <c r="B129">
        <f t="shared" ca="1" si="2"/>
        <v>0.7124100124877476</v>
      </c>
    </row>
    <row r="130" spans="2:2">
      <c r="B130">
        <f t="shared" ca="1" si="2"/>
        <v>0.22105006916076897</v>
      </c>
    </row>
    <row r="131" spans="2:2">
      <c r="B131">
        <f t="shared" ca="1" si="2"/>
        <v>0.97170239260100855</v>
      </c>
    </row>
    <row r="132" spans="2:2">
      <c r="B132">
        <f t="shared" ca="1" si="2"/>
        <v>0.33634462275445409</v>
      </c>
    </row>
    <row r="133" spans="2:2">
      <c r="B133">
        <f t="shared" ca="1" si="2"/>
        <v>0.51176665636834218</v>
      </c>
    </row>
    <row r="134" spans="2:2">
      <c r="B134">
        <f t="shared" ca="1" si="2"/>
        <v>0.4985753597052025</v>
      </c>
    </row>
    <row r="135" spans="2:2">
      <c r="B135">
        <f t="shared" ca="1" si="2"/>
        <v>0.72425156228171494</v>
      </c>
    </row>
    <row r="136" spans="2:2">
      <c r="B136">
        <f t="shared" ca="1" si="2"/>
        <v>0.22230004030554595</v>
      </c>
    </row>
    <row r="137" spans="2:2">
      <c r="B137">
        <f t="shared" ca="1" si="2"/>
        <v>2.8438167514244217E-3</v>
      </c>
    </row>
    <row r="138" spans="2:2">
      <c r="B138">
        <f t="shared" ca="1" si="2"/>
        <v>0.95350798018733141</v>
      </c>
    </row>
    <row r="139" spans="2:2">
      <c r="B139">
        <f t="shared" ca="1" si="2"/>
        <v>0.4848211972330787</v>
      </c>
    </row>
    <row r="140" spans="2:2">
      <c r="B140">
        <f t="shared" ca="1" si="2"/>
        <v>0.93043026986239719</v>
      </c>
    </row>
    <row r="141" spans="2:2">
      <c r="B141">
        <f t="shared" ca="1" si="2"/>
        <v>0.71333325541671577</v>
      </c>
    </row>
    <row r="142" spans="2:2">
      <c r="B142">
        <f t="shared" ca="1" si="2"/>
        <v>0.67131138165287241</v>
      </c>
    </row>
    <row r="143" spans="2:2">
      <c r="B143">
        <f t="shared" ca="1" si="2"/>
        <v>0.84371301257731246</v>
      </c>
    </row>
    <row r="144" spans="2:2">
      <c r="B144">
        <f t="shared" ca="1" si="2"/>
        <v>0.93464755734441662</v>
      </c>
    </row>
    <row r="145" spans="2:2">
      <c r="B145">
        <f t="shared" ca="1" si="2"/>
        <v>0.37809859116691746</v>
      </c>
    </row>
    <row r="146" spans="2:2">
      <c r="B146">
        <f t="shared" ca="1" si="2"/>
        <v>0.54646368752870578</v>
      </c>
    </row>
    <row r="147" spans="2:2">
      <c r="B147">
        <f t="shared" ca="1" si="2"/>
        <v>0.54829559195614797</v>
      </c>
    </row>
    <row r="148" spans="2:2">
      <c r="B148">
        <f t="shared" ca="1" si="2"/>
        <v>0.72032402945411855</v>
      </c>
    </row>
    <row r="149" spans="2:2">
      <c r="B149">
        <f t="shared" ca="1" si="2"/>
        <v>0.61846861854762525</v>
      </c>
    </row>
    <row r="150" spans="2:2">
      <c r="B150">
        <f t="shared" ca="1" si="2"/>
        <v>4.3350613219586331E-2</v>
      </c>
    </row>
    <row r="167" spans="1:2">
      <c r="B167" t="s">
        <v>15</v>
      </c>
    </row>
    <row r="168" spans="1:2">
      <c r="A168">
        <v>1</v>
      </c>
      <c r="B168" t="s">
        <v>16</v>
      </c>
    </row>
    <row r="170" spans="1:2">
      <c r="A170">
        <v>2</v>
      </c>
      <c r="B170" t="s">
        <v>17</v>
      </c>
    </row>
    <row r="172" spans="1:2" ht="29.25">
      <c r="A172" t="s">
        <v>18</v>
      </c>
      <c r="B172" s="1" t="s">
        <v>19</v>
      </c>
    </row>
    <row r="173" spans="1:2">
      <c r="B173" s="1" t="s">
        <v>20</v>
      </c>
    </row>
    <row r="174" spans="1:2">
      <c r="B174" s="1" t="s">
        <v>21</v>
      </c>
    </row>
    <row r="175" spans="1:2" ht="57.75">
      <c r="B175" s="1" t="s"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9A67-C41D-4AAF-AC4F-6458B22ECC47}">
  <dimension ref="A1:D266"/>
  <sheetViews>
    <sheetView tabSelected="1" topLeftCell="A254" workbookViewId="0">
      <selection activeCell="B32" sqref="B32"/>
    </sheetView>
  </sheetViews>
  <sheetFormatPr defaultRowHeight="15"/>
  <cols>
    <col min="2" max="2" width="39.85546875" customWidth="1"/>
    <col min="3" max="3" width="35.5703125" bestFit="1" customWidth="1"/>
    <col min="4" max="4" width="17" bestFit="1" customWidth="1"/>
  </cols>
  <sheetData>
    <row r="1" spans="1:3" ht="57.75">
      <c r="A1" t="s">
        <v>23</v>
      </c>
      <c r="B1" s="1" t="s">
        <v>24</v>
      </c>
    </row>
    <row r="3" spans="1:3">
      <c r="A3" t="s">
        <v>25</v>
      </c>
    </row>
    <row r="4" spans="1:3">
      <c r="B4" t="s">
        <v>26</v>
      </c>
      <c r="C4">
        <v>50</v>
      </c>
    </row>
    <row r="5" spans="1:3">
      <c r="B5" t="s">
        <v>27</v>
      </c>
      <c r="C5">
        <v>5</v>
      </c>
    </row>
    <row r="6" spans="1:3">
      <c r="B6" t="s">
        <v>28</v>
      </c>
      <c r="C6" t="s">
        <v>29</v>
      </c>
    </row>
    <row r="8" spans="1:3">
      <c r="B8" t="s">
        <v>30</v>
      </c>
    </row>
    <row r="10" spans="1:3" ht="29.25">
      <c r="B10" s="1" t="s">
        <v>31</v>
      </c>
    </row>
    <row r="11" spans="1:3">
      <c r="B11">
        <f>_xlfn.NORM.DIST(55,50,5,TRUE)</f>
        <v>0.84134474606854304</v>
      </c>
    </row>
    <row r="13" spans="1:3">
      <c r="B13" t="s">
        <v>32</v>
      </c>
    </row>
    <row r="14" spans="1:3">
      <c r="B14">
        <f>_xlfn.NORM.DIST(45,50,5,TRUE)</f>
        <v>0.15865525393145699</v>
      </c>
    </row>
    <row r="16" spans="1:3">
      <c r="B16" t="s">
        <v>33</v>
      </c>
    </row>
    <row r="17" spans="1:3">
      <c r="B17">
        <f>B11-B14</f>
        <v>0.68268949213708607</v>
      </c>
      <c r="C17" s="5">
        <v>0.68</v>
      </c>
    </row>
    <row r="19" spans="1:3" ht="43.5">
      <c r="B19" s="1" t="s">
        <v>34</v>
      </c>
    </row>
    <row r="21" spans="1:3" ht="57.75">
      <c r="A21" t="s">
        <v>35</v>
      </c>
      <c r="B21" s="1" t="s">
        <v>36</v>
      </c>
    </row>
    <row r="23" spans="1:3" ht="115.5">
      <c r="B23" s="1" t="s">
        <v>37</v>
      </c>
    </row>
    <row r="25" spans="1:3" ht="29.25">
      <c r="B25" s="1" t="s">
        <v>38</v>
      </c>
    </row>
    <row r="26" spans="1:3" ht="43.5">
      <c r="A26" t="s">
        <v>39</v>
      </c>
      <c r="B26" s="7" t="s">
        <v>40</v>
      </c>
    </row>
    <row r="27" spans="1:3">
      <c r="B27" s="7" t="s">
        <v>41</v>
      </c>
    </row>
    <row r="28" spans="1:3">
      <c r="B28" s="7" t="s">
        <v>42</v>
      </c>
    </row>
    <row r="29" spans="1:3">
      <c r="B29" s="1" t="s">
        <v>43</v>
      </c>
    </row>
    <row r="30" spans="1:3" ht="43.5">
      <c r="B30" s="1" t="s">
        <v>44</v>
      </c>
    </row>
    <row r="33" spans="1:2" ht="17.25">
      <c r="B33" s="9" t="s">
        <v>45</v>
      </c>
    </row>
    <row r="34" spans="1:2">
      <c r="B34" s="1" t="s">
        <v>46</v>
      </c>
    </row>
    <row r="35" spans="1:2">
      <c r="B35" t="s">
        <v>47</v>
      </c>
    </row>
    <row r="36" spans="1:2">
      <c r="B36" s="1" t="s">
        <v>48</v>
      </c>
    </row>
    <row r="37" spans="1:2">
      <c r="B37" s="1" t="s">
        <v>49</v>
      </c>
    </row>
    <row r="38" spans="1:2">
      <c r="B38" s="1" t="s">
        <v>50</v>
      </c>
    </row>
    <row r="39" spans="1:2">
      <c r="B39" s="1" t="s">
        <v>51</v>
      </c>
    </row>
    <row r="40" spans="1:2">
      <c r="B40" s="1" t="s">
        <v>52</v>
      </c>
    </row>
    <row r="42" spans="1:2" ht="29.25">
      <c r="B42" s="1" t="s">
        <v>53</v>
      </c>
    </row>
    <row r="44" spans="1:2" ht="15.75">
      <c r="A44">
        <v>1</v>
      </c>
      <c r="B44" s="11" t="s">
        <v>54</v>
      </c>
    </row>
    <row r="45" spans="1:2" ht="29.25">
      <c r="B45" s="1" t="s">
        <v>55</v>
      </c>
    </row>
    <row r="46" spans="1:2" ht="29.25">
      <c r="B46" s="1" t="s">
        <v>56</v>
      </c>
    </row>
    <row r="48" spans="1:2" ht="15.75">
      <c r="A48">
        <v>2</v>
      </c>
      <c r="B48" s="11" t="s">
        <v>57</v>
      </c>
    </row>
    <row r="49" spans="1:4" ht="29.25">
      <c r="B49" s="1" t="s">
        <v>58</v>
      </c>
    </row>
    <row r="50" spans="1:4" ht="30.75">
      <c r="B50" s="1" t="s">
        <v>59</v>
      </c>
    </row>
    <row r="52" spans="1:4" ht="15.75">
      <c r="A52">
        <v>3</v>
      </c>
      <c r="B52" s="11" t="s">
        <v>60</v>
      </c>
    </row>
    <row r="53" spans="1:4" ht="29.25">
      <c r="B53" s="1" t="s">
        <v>61</v>
      </c>
    </row>
    <row r="55" spans="1:4" ht="15.75">
      <c r="A55">
        <v>4</v>
      </c>
      <c r="B55" s="11" t="s">
        <v>62</v>
      </c>
    </row>
    <row r="56" spans="1:4" ht="29.25">
      <c r="B56" s="1" t="s">
        <v>63</v>
      </c>
    </row>
    <row r="57" spans="1:4">
      <c r="B57" s="1" t="s">
        <v>64</v>
      </c>
    </row>
    <row r="58" spans="1:4">
      <c r="B58" s="1" t="s">
        <v>65</v>
      </c>
    </row>
    <row r="59" spans="1:4">
      <c r="B59" s="1" t="s">
        <v>66</v>
      </c>
    </row>
    <row r="61" spans="1:4" ht="18">
      <c r="A61">
        <v>5</v>
      </c>
      <c r="B61" s="8" t="s">
        <v>67</v>
      </c>
    </row>
    <row r="62" spans="1:4">
      <c r="B62" s="6" t="s">
        <v>68</v>
      </c>
      <c r="C62" s="6" t="s">
        <v>69</v>
      </c>
      <c r="D62" s="6" t="s">
        <v>70</v>
      </c>
    </row>
    <row r="63" spans="1:4">
      <c r="B63" t="s">
        <v>71</v>
      </c>
      <c r="C63" t="s">
        <v>72</v>
      </c>
      <c r="D63">
        <v>0</v>
      </c>
    </row>
    <row r="64" spans="1:4">
      <c r="B64" t="s">
        <v>73</v>
      </c>
      <c r="C64" t="s">
        <v>72</v>
      </c>
      <c r="D64">
        <v>1</v>
      </c>
    </row>
    <row r="65" spans="1:4">
      <c r="B65" t="s">
        <v>74</v>
      </c>
      <c r="C65" t="s">
        <v>75</v>
      </c>
      <c r="D65" t="s">
        <v>76</v>
      </c>
    </row>
    <row r="66" spans="1:4">
      <c r="B66" t="s">
        <v>77</v>
      </c>
      <c r="C66" t="s">
        <v>78</v>
      </c>
      <c r="D66" t="s">
        <v>79</v>
      </c>
    </row>
    <row r="68" spans="1:4" ht="29.25">
      <c r="A68" t="s">
        <v>39</v>
      </c>
      <c r="B68" s="7" t="s">
        <v>80</v>
      </c>
    </row>
    <row r="69" spans="1:4">
      <c r="A69" t="s">
        <v>39</v>
      </c>
      <c r="B69" s="1" t="s">
        <v>81</v>
      </c>
    </row>
    <row r="70" spans="1:4" ht="29.25">
      <c r="A70" t="s">
        <v>39</v>
      </c>
      <c r="B70" s="1" t="s">
        <v>82</v>
      </c>
    </row>
    <row r="71" spans="1:4" ht="29.25">
      <c r="A71" t="s">
        <v>39</v>
      </c>
      <c r="B71" s="1" t="s">
        <v>83</v>
      </c>
    </row>
    <row r="73" spans="1:4" ht="29.25">
      <c r="B73" s="1" t="s">
        <v>84</v>
      </c>
    </row>
    <row r="74" spans="1:4" ht="29.25">
      <c r="B74" s="1" t="s">
        <v>85</v>
      </c>
    </row>
    <row r="75" spans="1:4">
      <c r="B75" s="7" t="s">
        <v>86</v>
      </c>
    </row>
    <row r="76" spans="1:4" ht="29.25">
      <c r="B76" s="1" t="s">
        <v>38</v>
      </c>
    </row>
    <row r="77" spans="1:4">
      <c r="B77" s="1" t="s">
        <v>87</v>
      </c>
    </row>
    <row r="78" spans="1:4">
      <c r="B78" t="s">
        <v>88</v>
      </c>
      <c r="C78" s="3"/>
    </row>
    <row r="80" spans="1:4" ht="29.25">
      <c r="B80" s="1" t="s">
        <v>89</v>
      </c>
    </row>
    <row r="81" spans="1:2">
      <c r="B81" s="1" t="s">
        <v>90</v>
      </c>
    </row>
    <row r="82" spans="1:2">
      <c r="B82" s="1" t="s">
        <v>91</v>
      </c>
    </row>
    <row r="83" spans="1:2">
      <c r="B83" s="1" t="s">
        <v>92</v>
      </c>
    </row>
    <row r="84" spans="1:2" ht="29.25">
      <c r="B84" s="1" t="s">
        <v>93</v>
      </c>
    </row>
    <row r="88" spans="1:2">
      <c r="A88" t="s">
        <v>94</v>
      </c>
      <c r="B88" t="s">
        <v>95</v>
      </c>
    </row>
    <row r="90" spans="1:2" ht="43.5">
      <c r="A90" t="s">
        <v>25</v>
      </c>
      <c r="B90" s="7" t="s">
        <v>96</v>
      </c>
    </row>
    <row r="91" spans="1:2">
      <c r="B91" s="1" t="s">
        <v>97</v>
      </c>
    </row>
    <row r="92" spans="1:2" ht="29.25">
      <c r="B92" s="1" t="s">
        <v>98</v>
      </c>
    </row>
    <row r="93" spans="1:2" ht="43.5">
      <c r="B93" s="1" t="s">
        <v>99</v>
      </c>
    </row>
    <row r="95" spans="1:2">
      <c r="B95" t="s">
        <v>100</v>
      </c>
    </row>
    <row r="96" spans="1:2" ht="15.75">
      <c r="A96">
        <v>1</v>
      </c>
      <c r="B96" s="10" t="s">
        <v>101</v>
      </c>
    </row>
    <row r="97" spans="1:2">
      <c r="B97" t="s">
        <v>102</v>
      </c>
    </row>
    <row r="98" spans="1:2">
      <c r="B98" t="s">
        <v>103</v>
      </c>
    </row>
    <row r="99" spans="1:2">
      <c r="B99" t="s">
        <v>104</v>
      </c>
    </row>
    <row r="100" spans="1:2">
      <c r="B100" t="s">
        <v>105</v>
      </c>
    </row>
    <row r="101" spans="1:2">
      <c r="B101" s="12" t="s">
        <v>106</v>
      </c>
    </row>
    <row r="103" spans="1:2" ht="15.75">
      <c r="A103">
        <v>2</v>
      </c>
      <c r="B103" s="11" t="s">
        <v>107</v>
      </c>
    </row>
    <row r="104" spans="1:2">
      <c r="B104" s="7" t="s">
        <v>108</v>
      </c>
    </row>
    <row r="105" spans="1:2" ht="29.25">
      <c r="B105" s="7" t="s">
        <v>109</v>
      </c>
    </row>
    <row r="106" spans="1:2">
      <c r="B106" s="1" t="s">
        <v>110</v>
      </c>
    </row>
    <row r="107" spans="1:2">
      <c r="B107" s="1" t="s">
        <v>111</v>
      </c>
    </row>
    <row r="108" spans="1:2">
      <c r="B108" s="13" t="s">
        <v>112</v>
      </c>
    </row>
    <row r="110" spans="1:2" ht="15.75">
      <c r="A110">
        <v>3</v>
      </c>
      <c r="B110" s="10" t="s">
        <v>113</v>
      </c>
    </row>
    <row r="111" spans="1:2">
      <c r="B111" s="6" t="s">
        <v>114</v>
      </c>
    </row>
    <row r="112" spans="1:2">
      <c r="B112" s="6" t="s">
        <v>115</v>
      </c>
    </row>
    <row r="113" spans="1:2">
      <c r="B113" t="s">
        <v>116</v>
      </c>
    </row>
    <row r="114" spans="1:2">
      <c r="B114" t="s">
        <v>117</v>
      </c>
    </row>
    <row r="115" spans="1:2">
      <c r="B115" s="12" t="s">
        <v>118</v>
      </c>
    </row>
    <row r="117" spans="1:2" ht="18">
      <c r="B117" s="8" t="s">
        <v>119</v>
      </c>
    </row>
    <row r="118" spans="1:2">
      <c r="B118" t="s">
        <v>120</v>
      </c>
    </row>
    <row r="119" spans="1:2">
      <c r="B119" s="6" t="s">
        <v>121</v>
      </c>
    </row>
    <row r="120" spans="1:2">
      <c r="B120" t="s">
        <v>122</v>
      </c>
    </row>
    <row r="122" spans="1:2" ht="43.5">
      <c r="A122" t="s">
        <v>123</v>
      </c>
      <c r="B122" s="1" t="s">
        <v>124</v>
      </c>
    </row>
    <row r="124" spans="1:2" ht="57.75">
      <c r="A124" t="s">
        <v>25</v>
      </c>
      <c r="B124" s="1" t="s">
        <v>125</v>
      </c>
    </row>
    <row r="126" spans="1:2" ht="17.25">
      <c r="A126">
        <v>1</v>
      </c>
      <c r="B126" s="9" t="s">
        <v>126</v>
      </c>
    </row>
    <row r="127" spans="1:2">
      <c r="B127" s="1" t="s">
        <v>127</v>
      </c>
    </row>
    <row r="128" spans="1:2">
      <c r="B128" s="1" t="s">
        <v>128</v>
      </c>
    </row>
    <row r="129" spans="1:2">
      <c r="B129" s="1" t="s">
        <v>129</v>
      </c>
    </row>
    <row r="130" spans="1:2" ht="29.25">
      <c r="B130" s="1" t="s">
        <v>130</v>
      </c>
    </row>
    <row r="131" spans="1:2">
      <c r="B131" s="1" t="s">
        <v>131</v>
      </c>
    </row>
    <row r="132" spans="1:2">
      <c r="B132" t="s">
        <v>132</v>
      </c>
    </row>
    <row r="133" spans="1:2">
      <c r="B133" t="s">
        <v>133</v>
      </c>
    </row>
    <row r="134" spans="1:2" ht="29.25">
      <c r="B134" s="1" t="s">
        <v>134</v>
      </c>
    </row>
    <row r="136" spans="1:2" ht="34.5">
      <c r="A136">
        <v>2</v>
      </c>
      <c r="B136" s="9" t="s">
        <v>135</v>
      </c>
    </row>
    <row r="137" spans="1:2" ht="29.25">
      <c r="B137" s="1" t="s">
        <v>136</v>
      </c>
    </row>
    <row r="138" spans="1:2">
      <c r="B138" s="1" t="s">
        <v>137</v>
      </c>
    </row>
    <row r="139" spans="1:2" ht="29.25">
      <c r="B139" s="1" t="s">
        <v>138</v>
      </c>
    </row>
    <row r="140" spans="1:2">
      <c r="B140" s="1" t="s">
        <v>139</v>
      </c>
    </row>
    <row r="141" spans="1:2" ht="29.25">
      <c r="B141" s="1" t="s">
        <v>140</v>
      </c>
    </row>
    <row r="143" spans="1:2" ht="17.25">
      <c r="A143">
        <v>3</v>
      </c>
      <c r="B143" s="9" t="s">
        <v>141</v>
      </c>
    </row>
    <row r="144" spans="1:2" ht="29.25">
      <c r="B144" s="1" t="s">
        <v>142</v>
      </c>
    </row>
    <row r="145" spans="1:2" ht="29.25">
      <c r="B145" s="1" t="s">
        <v>143</v>
      </c>
    </row>
    <row r="146" spans="1:2" ht="29.25">
      <c r="B146" s="1" t="s">
        <v>144</v>
      </c>
    </row>
    <row r="147" spans="1:2">
      <c r="B147" s="1" t="s">
        <v>145</v>
      </c>
    </row>
    <row r="149" spans="1:2" ht="34.5">
      <c r="A149">
        <v>4</v>
      </c>
      <c r="B149" s="9" t="s">
        <v>146</v>
      </c>
    </row>
    <row r="150" spans="1:2">
      <c r="B150" s="1" t="s">
        <v>147</v>
      </c>
    </row>
    <row r="151" spans="1:2" ht="29.25">
      <c r="B151" s="1" t="s">
        <v>148</v>
      </c>
    </row>
    <row r="152" spans="1:2">
      <c r="B152" s="1" t="s">
        <v>149</v>
      </c>
    </row>
    <row r="153" spans="1:2">
      <c r="A153" t="s">
        <v>39</v>
      </c>
      <c r="B153" t="s">
        <v>71</v>
      </c>
    </row>
    <row r="154" spans="1:2">
      <c r="A154" t="s">
        <v>39</v>
      </c>
      <c r="B154" t="s">
        <v>150</v>
      </c>
    </row>
    <row r="155" spans="1:2">
      <c r="A155" t="s">
        <v>39</v>
      </c>
      <c r="B155" t="s">
        <v>151</v>
      </c>
    </row>
    <row r="156" spans="1:2">
      <c r="B156" s="1" t="s">
        <v>137</v>
      </c>
    </row>
    <row r="157" spans="1:2">
      <c r="B157" t="s">
        <v>152</v>
      </c>
    </row>
    <row r="158" spans="1:2">
      <c r="B158" t="s">
        <v>153</v>
      </c>
    </row>
    <row r="160" spans="1:2" ht="17.25">
      <c r="A160">
        <v>5</v>
      </c>
      <c r="B160" s="9" t="s">
        <v>154</v>
      </c>
    </row>
    <row r="161" spans="1:2" ht="29.25">
      <c r="B161" s="1" t="s">
        <v>155</v>
      </c>
    </row>
    <row r="162" spans="1:2">
      <c r="B162" s="1" t="s">
        <v>156</v>
      </c>
    </row>
    <row r="163" spans="1:2" ht="29.25">
      <c r="B163" s="1" t="s">
        <v>157</v>
      </c>
    </row>
    <row r="164" spans="1:2">
      <c r="B164" s="1" t="s">
        <v>158</v>
      </c>
    </row>
    <row r="166" spans="1:2" ht="72.75">
      <c r="A166" t="s">
        <v>39</v>
      </c>
      <c r="B166" s="1" t="s">
        <v>159</v>
      </c>
    </row>
    <row r="168" spans="1:2" ht="43.5">
      <c r="A168" t="s">
        <v>160</v>
      </c>
      <c r="B168" s="1" t="s">
        <v>161</v>
      </c>
    </row>
    <row r="170" spans="1:2">
      <c r="A170" t="s">
        <v>25</v>
      </c>
      <c r="B170" t="s">
        <v>162</v>
      </c>
    </row>
    <row r="171" spans="1:2">
      <c r="B171" t="s">
        <v>163</v>
      </c>
    </row>
    <row r="172" spans="1:2">
      <c r="B172" t="s">
        <v>164</v>
      </c>
    </row>
    <row r="173" spans="1:2">
      <c r="B173" t="s">
        <v>165</v>
      </c>
    </row>
    <row r="175" spans="1:2">
      <c r="B175" s="6" t="s">
        <v>166</v>
      </c>
    </row>
    <row r="176" spans="1:2">
      <c r="B176" t="s">
        <v>167</v>
      </c>
    </row>
    <row r="177" spans="1:3">
      <c r="B177" s="14" t="s">
        <v>168</v>
      </c>
      <c r="C177" s="4">
        <f>1-_xlfn.BINOM.DIST(7,15,0.5,TRUE)</f>
        <v>0.5</v>
      </c>
    </row>
    <row r="179" spans="1:3">
      <c r="B179" t="s">
        <v>169</v>
      </c>
    </row>
    <row r="180" spans="1:3">
      <c r="B180" t="s">
        <v>170</v>
      </c>
    </row>
    <row r="181" spans="1:3">
      <c r="B181" t="s">
        <v>171</v>
      </c>
    </row>
    <row r="182" spans="1:3">
      <c r="B182" t="s">
        <v>172</v>
      </c>
    </row>
    <row r="183" spans="1:3">
      <c r="B183" t="s">
        <v>165</v>
      </c>
    </row>
    <row r="185" spans="1:3" ht="22.5">
      <c r="B185" s="16" t="s">
        <v>173</v>
      </c>
    </row>
    <row r="186" spans="1:3">
      <c r="B186" s="1" t="s">
        <v>174</v>
      </c>
    </row>
    <row r="188" spans="1:3">
      <c r="B188" t="s">
        <v>175</v>
      </c>
    </row>
    <row r="189" spans="1:3">
      <c r="A189">
        <v>1</v>
      </c>
      <c r="B189" t="s">
        <v>176</v>
      </c>
    </row>
    <row r="190" spans="1:3">
      <c r="B190" s="6" t="s">
        <v>177</v>
      </c>
      <c r="C190" t="s">
        <v>178</v>
      </c>
    </row>
    <row r="191" spans="1:3">
      <c r="B191">
        <v>8</v>
      </c>
      <c r="C191">
        <f>_xlfn.BINOM.DIST(8,15,0.5,FALSE)</f>
        <v>0.19638061523437506</v>
      </c>
    </row>
    <row r="192" spans="1:3">
      <c r="B192">
        <v>9</v>
      </c>
      <c r="C192">
        <f>_xlfn.BINOM.DIST(9,15,0.5,FALSE)</f>
        <v>0.152740478515625</v>
      </c>
    </row>
    <row r="193" spans="1:3">
      <c r="B193">
        <v>10</v>
      </c>
      <c r="C193">
        <f>_xlfn.BINOM.DIST(10,15,0.5,FALSE)</f>
        <v>9.1644287109375042E-2</v>
      </c>
    </row>
    <row r="194" spans="1:3">
      <c r="B194">
        <v>11</v>
      </c>
      <c r="C194">
        <f>_xlfn.BINOM.DIST(11,15,0.5,FALSE)</f>
        <v>4.1656494140625021E-2</v>
      </c>
    </row>
    <row r="195" spans="1:3">
      <c r="B195">
        <v>12</v>
      </c>
      <c r="C195">
        <f>_xlfn.BINOM.DIST(12,15,0.5,FALSE)</f>
        <v>1.3885498046874986E-2</v>
      </c>
    </row>
    <row r="196" spans="1:3">
      <c r="B196">
        <v>13</v>
      </c>
      <c r="C196">
        <f>_xlfn.BINOM.DIST(13,15,0.5,FALSE)</f>
        <v>3.2043457031250035E-3</v>
      </c>
    </row>
    <row r="197" spans="1:3">
      <c r="B197">
        <v>14</v>
      </c>
      <c r="C197">
        <f>_xlfn.BINOM.DIST(14,15,0.5,FALSE)</f>
        <v>4.5776367187500022E-4</v>
      </c>
    </row>
    <row r="198" spans="1:3">
      <c r="B198">
        <v>15</v>
      </c>
      <c r="C198">
        <f>_xlfn.BINOM.DIST(15,15,0.5,FALSE)</f>
        <v>3.0517578125000014E-5</v>
      </c>
    </row>
    <row r="200" spans="1:3">
      <c r="A200">
        <v>2</v>
      </c>
      <c r="B200" t="s">
        <v>179</v>
      </c>
    </row>
    <row r="201" spans="1:3" ht="29.25">
      <c r="B201" s="1" t="s">
        <v>180</v>
      </c>
    </row>
    <row r="202" spans="1:3">
      <c r="B202" s="4">
        <f>SUM(C191:C198)</f>
        <v>0.50000000000000011</v>
      </c>
    </row>
    <row r="204" spans="1:3" ht="29.25">
      <c r="B204" s="1" t="s">
        <v>181</v>
      </c>
    </row>
    <row r="206" spans="1:3" ht="43.5">
      <c r="A206" t="s">
        <v>182</v>
      </c>
      <c r="B206" s="1" t="s">
        <v>183</v>
      </c>
    </row>
    <row r="208" spans="1:3" ht="72.75">
      <c r="A208" t="s">
        <v>25</v>
      </c>
      <c r="B208" s="1" t="s">
        <v>184</v>
      </c>
    </row>
    <row r="210" spans="1:2">
      <c r="A210">
        <v>1</v>
      </c>
      <c r="B210" t="s">
        <v>185</v>
      </c>
    </row>
    <row r="211" spans="1:2" ht="29.25">
      <c r="B211" s="1" t="s">
        <v>186</v>
      </c>
    </row>
    <row r="212" spans="1:2">
      <c r="B212" s="1" t="s">
        <v>187</v>
      </c>
    </row>
    <row r="213" spans="1:2">
      <c r="B213" s="1" t="s">
        <v>188</v>
      </c>
    </row>
    <row r="214" spans="1:2">
      <c r="B214" s="17" t="s">
        <v>189</v>
      </c>
    </row>
    <row r="215" spans="1:2">
      <c r="B215" s="17" t="s">
        <v>190</v>
      </c>
    </row>
    <row r="216" spans="1:2" ht="29.25">
      <c r="B216" s="1" t="s">
        <v>191</v>
      </c>
    </row>
    <row r="218" spans="1:2">
      <c r="A218">
        <v>2</v>
      </c>
      <c r="B218" t="s">
        <v>192</v>
      </c>
    </row>
    <row r="220" spans="1:2">
      <c r="B220" t="s">
        <v>193</v>
      </c>
    </row>
    <row r="221" spans="1:2">
      <c r="B221" t="s">
        <v>194</v>
      </c>
    </row>
    <row r="222" spans="1:2">
      <c r="B222" t="s">
        <v>195</v>
      </c>
    </row>
    <row r="223" spans="1:2">
      <c r="B223" t="s">
        <v>196</v>
      </c>
    </row>
    <row r="225" spans="1:2" ht="34.5">
      <c r="B225" s="9" t="s">
        <v>197</v>
      </c>
    </row>
    <row r="226" spans="1:2" ht="29.25">
      <c r="B226" s="1" t="s">
        <v>198</v>
      </c>
    </row>
    <row r="227" spans="1:2">
      <c r="B227" s="1" t="s">
        <v>199</v>
      </c>
    </row>
    <row r="228" spans="1:2" ht="29.25">
      <c r="B228" s="1" t="s">
        <v>200</v>
      </c>
    </row>
    <row r="230" spans="1:2">
      <c r="B230" s="6" t="s">
        <v>86</v>
      </c>
    </row>
    <row r="231" spans="1:2">
      <c r="B231" t="s">
        <v>201</v>
      </c>
    </row>
    <row r="232" spans="1:2">
      <c r="B232" t="s">
        <v>202</v>
      </c>
    </row>
    <row r="233" spans="1:2">
      <c r="B233" t="s">
        <v>203</v>
      </c>
    </row>
    <row r="235" spans="1:2" ht="29.25">
      <c r="A235">
        <v>3</v>
      </c>
      <c r="B235" s="1" t="s">
        <v>204</v>
      </c>
    </row>
    <row r="237" spans="1:2" ht="17.25">
      <c r="B237" s="9" t="s">
        <v>205</v>
      </c>
    </row>
    <row r="238" spans="1:2" ht="29.25">
      <c r="B238" s="1" t="s">
        <v>206</v>
      </c>
    </row>
    <row r="239" spans="1:2">
      <c r="B239" s="1" t="s">
        <v>207</v>
      </c>
    </row>
    <row r="240" spans="1:2" ht="17.25">
      <c r="B240" s="9" t="s">
        <v>208</v>
      </c>
    </row>
    <row r="241" spans="1:3">
      <c r="B241" s="1" t="s">
        <v>209</v>
      </c>
    </row>
    <row r="242" spans="1:3">
      <c r="B242" s="1" t="s">
        <v>210</v>
      </c>
    </row>
    <row r="243" spans="1:3">
      <c r="B243" s="1" t="s">
        <v>211</v>
      </c>
    </row>
    <row r="244" spans="1:3">
      <c r="B244" s="13" t="s">
        <v>212</v>
      </c>
    </row>
    <row r="245" spans="1:3">
      <c r="B245" s="13" t="s">
        <v>213</v>
      </c>
    </row>
    <row r="247" spans="1:3" ht="24">
      <c r="A247">
        <v>4</v>
      </c>
      <c r="B247" s="15" t="s">
        <v>214</v>
      </c>
    </row>
    <row r="248" spans="1:3">
      <c r="B248" s="6" t="s">
        <v>215</v>
      </c>
      <c r="C248" s="6" t="s">
        <v>216</v>
      </c>
    </row>
    <row r="249" spans="1:3">
      <c r="B249" t="s">
        <v>217</v>
      </c>
      <c r="C249" t="s">
        <v>218</v>
      </c>
    </row>
    <row r="250" spans="1:3">
      <c r="B250" t="s">
        <v>219</v>
      </c>
      <c r="C250" t="s">
        <v>220</v>
      </c>
    </row>
    <row r="251" spans="1:3">
      <c r="B251" t="s">
        <v>221</v>
      </c>
      <c r="C251" t="s">
        <v>222</v>
      </c>
    </row>
    <row r="252" spans="1:3">
      <c r="B252" s="1"/>
    </row>
    <row r="253" spans="1:3" ht="45.75">
      <c r="A253">
        <v>5</v>
      </c>
      <c r="B253" s="16" t="s">
        <v>223</v>
      </c>
    </row>
    <row r="254" spans="1:3">
      <c r="B254" s="1" t="s">
        <v>224</v>
      </c>
    </row>
    <row r="255" spans="1:3" ht="29.25">
      <c r="B255" s="1" t="s">
        <v>225</v>
      </c>
    </row>
    <row r="256" spans="1:3">
      <c r="B256" s="1" t="s">
        <v>226</v>
      </c>
    </row>
    <row r="257" spans="1:2">
      <c r="B257" s="1" t="s">
        <v>227</v>
      </c>
    </row>
    <row r="259" spans="1:2" ht="24">
      <c r="A259">
        <v>6</v>
      </c>
      <c r="B259" s="15" t="s">
        <v>228</v>
      </c>
    </row>
    <row r="260" spans="1:2">
      <c r="B260" t="s">
        <v>229</v>
      </c>
    </row>
    <row r="261" spans="1:2">
      <c r="B261" s="18" t="s">
        <v>230</v>
      </c>
    </row>
    <row r="262" spans="1:2">
      <c r="B262" t="s">
        <v>231</v>
      </c>
    </row>
    <row r="263" spans="1:2">
      <c r="B263" t="s">
        <v>232</v>
      </c>
    </row>
    <row r="264" spans="1:2" ht="29.25">
      <c r="B264" s="1" t="s">
        <v>233</v>
      </c>
    </row>
    <row r="266" spans="1:2" ht="57.75">
      <c r="A266" t="s">
        <v>234</v>
      </c>
      <c r="B266" s="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2025-12-27T11:11:21Z</dcterms:created>
  <dcterms:modified xsi:type="dcterms:W3CDTF">2025-12-29T12:10:17Z</dcterms:modified>
  <cp:category/>
  <cp:contentStatus/>
</cp:coreProperties>
</file>